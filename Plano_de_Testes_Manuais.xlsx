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TESTES POSITIVOS" sheetId="2" state="visible" r:id="rId4"/>
    <sheet name="TESTES NEGATIVOS" sheetId="3" state="visible" r:id="rId5"/>
    <sheet name="NOVOS TESTES – POSITIVOS" sheetId="4" state="visible" r:id="rId6"/>
    <sheet name="NOVOS TESTES – NEGATIVOS" sheetId="5" state="visible" r:id="rId7"/>
    <sheet name="RESUMO" sheetId="6" state="visible" r:id="rId8"/>
  </sheets>
  <definedNames>
    <definedName function="false" hidden="false" localSheetId="4" name="_xlnm.Print_Titles" vbProcedure="false">'NOVOS TESTES – NEGATIVOS'!$1:$3</definedName>
    <definedName function="false" hidden="true" localSheetId="4" name="_xlnm._FilterDatabase" vbProcedure="false">'NOVOS TESTES – NEGATIVOS'!$A$3:$K$3</definedName>
    <definedName function="false" hidden="false" localSheetId="3" name="_xlnm.Print_Titles" vbProcedure="false">'NOVOS TESTES – POSITIVOS'!$1:$3</definedName>
    <definedName function="false" hidden="true" localSheetId="3" name="_xlnm._FilterDatabase" vbProcedure="false">'NOVOS TESTES – POSITIVOS'!$A$3:$K$3</definedName>
    <definedName function="false" hidden="false" localSheetId="2" name="_xlnm.Print_Titles" vbProcedure="false">'TESTES NEGATIVOS'!$1:$3</definedName>
    <definedName function="false" hidden="true" localSheetId="2" name="_xlnm._FilterDatabase" vbProcedure="false">'TESTES NEGATIVOS'!$A$3:$K$3</definedName>
    <definedName function="false" hidden="false" localSheetId="1" name="_xlnm.Print_Titles" vbProcedure="false">'TESTES POSITIVOS'!$1:$3</definedName>
    <definedName function="false" hidden="true" localSheetId="1" name="_xlnm._FilterDatabase" vbProcedure="false">'TESTES POSITIVOS'!$A$3:$K$3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<sst xmlns="http://schemas.openxmlformats.org/spreadsheetml/2006/main" count="284" uniqueCount="168">
  <si>
    <t xml:space="preserve">PLANO DE TESTES MANUAIS</t>
  </si>
  <si>
    <t xml:space="preserve">Atividade Prática – Execução de Testes Manuais</t>
  </si>
  <si>
    <t xml:space="preserve">Grupo / Turma:</t>
  </si>
  <si>
    <t xml:space="preserve">Integrantes:</t>
  </si>
  <si>
    <t xml:space="preserve">Professor:</t>
  </si>
  <si>
    <t xml:space="preserve">Disciplina:</t>
  </si>
  <si>
    <t xml:space="preserve">Qualidade de Software / Testes</t>
  </si>
  <si>
    <t xml:space="preserve">Data de Entrega:</t>
  </si>
  <si>
    <t xml:space="preserve">Versão:</t>
  </si>
  <si>
    <t xml:space="preserve">1.0</t>
  </si>
  <si>
    <t xml:space="preserve">OBJETIVO DA ATIVIDADE</t>
  </si>
  <si>
    <t xml:space="preserve">Executar os testes descritos na planilha e registrar corretamente os resultados obtidos durante a navegação no sistema, desenvolvendo competências de pensamento analítico, interpretação de requisitos, documentação técnica e execução de testes funcionais.</t>
  </si>
  <si>
    <t xml:space="preserve">GUIA DE ABAS DA PLANILHA</t>
  </si>
  <si>
    <t xml:space="preserve">CAPA</t>
  </si>
  <si>
    <t xml:space="preserve">Identificação do grupo e objetivo da atividade</t>
  </si>
  <si>
    <t xml:space="preserve">TESTES POSITIVOS</t>
  </si>
  <si>
    <t xml:space="preserve">Casos de teste com fluxos válidos e comportamentos esperados</t>
  </si>
  <si>
    <t xml:space="preserve">TESTES NEGATIVOS</t>
  </si>
  <si>
    <t xml:space="preserve">Casos de teste com entradas inválidas ou fluxos de erro</t>
  </si>
  <si>
    <t xml:space="preserve">NOVOS TESTES – POSITIVOS</t>
  </si>
  <si>
    <t xml:space="preserve">5 novos casos positivos criados pelo grupo</t>
  </si>
  <si>
    <t xml:space="preserve">NOVOS TESTES – NEGATIVOS</t>
  </si>
  <si>
    <t xml:space="preserve">5 novos casos negativos criados pelo grupo</t>
  </si>
  <si>
    <t xml:space="preserve">RESUMO</t>
  </si>
  <si>
    <t xml:space="preserve">Painel de acompanhamento e métricas dos testes</t>
  </si>
  <si>
    <t xml:space="preserve">✅  TESTES POSITIVOS – Fluxos Válidos</t>
  </si>
  <si>
    <t xml:space="preserve">Sistema: Login / Dashboard  |  Ambiente: Homologação  |  Executor: _______________  |  Data: ___/___/______</t>
  </si>
  <si>
    <t xml:space="preserve">ID</t>
  </si>
  <si>
    <t xml:space="preserve">CENÁRIO</t>
  </si>
  <si>
    <t xml:space="preserve">TIPO</t>
  </si>
  <si>
    <t xml:space="preserve">PRÉ-COND</t>
  </si>
  <si>
    <t xml:space="preserve">DADOS</t>
  </si>
  <si>
    <t xml:space="preserve">PASSOS</t>
  </si>
  <si>
    <t xml:space="preserve">ESPERADO</t>
  </si>
  <si>
    <t xml:space="preserve">OBTIDO</t>
  </si>
  <si>
    <t xml:space="preserve">STATUS</t>
  </si>
  <si>
    <t xml:space="preserve">COMENTÁRIOS</t>
  </si>
  <si>
    <t xml:space="preserve">EVIDÊNCIA</t>
  </si>
  <si>
    <t xml:space="preserve">TP-001</t>
  </si>
  <si>
    <t xml:space="preserve">Login com credenciais válidas</t>
  </si>
  <si>
    <t xml:space="preserve">Positivo</t>
  </si>
  <si>
    <t xml:space="preserve">Sistema disponível; usuário cadastrado e ativo</t>
  </si>
  <si>
    <t xml:space="preserve">Usuário: admin
Senha: Admin@123</t>
  </si>
  <si>
    <t xml:space="preserve">1. Acessar a URL do sistema
2. Preencher e-mail com 'admin'
3. Preencher senha com 'Admin@123'
4. Clicar em 'Entrar'</t>
  </si>
  <si>
    <t xml:space="preserve">Autenticação bem-sucedida; redirecionamento para o Dashboard</t>
  </si>
  <si>
    <t xml:space="preserve">[ ]</t>
  </si>
  <si>
    <t xml:space="preserve">Print da tela do Dashboard</t>
  </si>
  <si>
    <t xml:space="preserve">TP-002</t>
  </si>
  <si>
    <t xml:space="preserve">Navegação até o Dashboard após login</t>
  </si>
  <si>
    <t xml:space="preserve">Usuário autenticado no sistema</t>
  </si>
  <si>
    <t xml:space="preserve">Usuário logado com perfil 'admin'</t>
  </si>
  <si>
    <t xml:space="preserve">1. Realizar login
2. Verificar se o Dashboard é carregado automaticamente
3. Confirmar exibição dos elementos do painel</t>
  </si>
  <si>
    <t xml:space="preserve">Dashboard exibido com gráficos, menus e informações do usuário</t>
  </si>
  <si>
    <t xml:space="preserve">Print do Dashboard completo</t>
  </si>
  <si>
    <t xml:space="preserve">TP-003</t>
  </si>
  <si>
    <t xml:space="preserve">Logout do sistema</t>
  </si>
  <si>
    <t xml:space="preserve">Usuário autenticado e no Dashboard</t>
  </si>
  <si>
    <t xml:space="preserve">Sessão ativa do usuário 'admin'</t>
  </si>
  <si>
    <t xml:space="preserve">1. Clicar no menu do perfil (topo direito)
2. Selecionar a opção 'Sair' ou 'Logout'
3. Aguardar redirecionamento</t>
  </si>
  <si>
    <t xml:space="preserve">Sessão encerrada; redirecionamento para a tela de login; acesso direto ao Dashboard bloqueado</t>
  </si>
  <si>
    <t xml:space="preserve">Print da tela de login após logout</t>
  </si>
  <si>
    <t xml:space="preserve">TP-004</t>
  </si>
  <si>
    <t xml:space="preserve">Login com e-mail em letras minúsculas</t>
  </si>
  <si>
    <t xml:space="preserve">Sistema disponível; usuário cadastrado</t>
  </si>
  <si>
    <t xml:space="preserve">Usuário: usuario@teste.com
Senha: Senha@456</t>
  </si>
  <si>
    <t xml:space="preserve">1. Preencher e-mail em letras minúsculas
2. Preencher senha
3. Clicar em 'Entrar'</t>
  </si>
  <si>
    <t xml:space="preserve">Login realizado com sucesso independente da capitalização do e-mail</t>
  </si>
  <si>
    <t xml:space="preserve">TP-005</t>
  </si>
  <si>
    <t xml:space="preserve">Manter sessão ativa após atualização de página</t>
  </si>
  <si>
    <t xml:space="preserve">Usuário autenticado no Dashboard</t>
  </si>
  <si>
    <t xml:space="preserve">Sessão ativa (token de sessão válido)</t>
  </si>
  <si>
    <t xml:space="preserve">1. Realizar login
2. Pressionar F5 para recarregar a página
3. Verificar se o usuário permanece autenticado</t>
  </si>
  <si>
    <t xml:space="preserve">Sessão mantida; Dashboard recarregado sem necessidade de novo login</t>
  </si>
  <si>
    <t xml:space="preserve">❌  TESTES NEGATIVOS – Fluxos de Erro e Validação</t>
  </si>
  <si>
    <t xml:space="preserve">TN-001</t>
  </si>
  <si>
    <t xml:space="preserve">Login sem preencher nenhum campo</t>
  </si>
  <si>
    <t xml:space="preserve">Negativo</t>
  </si>
  <si>
    <t xml:space="preserve">Sistema disponível na tela de login</t>
  </si>
  <si>
    <t xml:space="preserve">E-mail: (vazio)
Senha: (vazio)</t>
  </si>
  <si>
    <t xml:space="preserve">1. Acessar a tela de login
2. Deixar os campos em branco
3. Clicar em 'Entrar'</t>
  </si>
  <si>
    <t xml:space="preserve">Mensagens de validação exibidas nos campos obrigatórios; login bloqueado</t>
  </si>
  <si>
    <t xml:space="preserve">Print das mensagens de erro</t>
  </si>
  <si>
    <t xml:space="preserve">TN-002</t>
  </si>
  <si>
    <t xml:space="preserve">Login com usuário inválido (não cadastrado)</t>
  </si>
  <si>
    <t xml:space="preserve">Sistema disponível; e-mail não cadastrado</t>
  </si>
  <si>
    <t xml:space="preserve">Usuário: invalido@fake.com
Senha: Qualquer123</t>
  </si>
  <si>
    <t xml:space="preserve">1. Preencher e-mail não cadastrado
2. Preencher qualquer senha
3. Clicar em 'Entrar'</t>
  </si>
  <si>
    <t xml:space="preserve">Mensagem de erro genérica: 'Usuário ou senha inválidos'; acesso negado</t>
  </si>
  <si>
    <t xml:space="preserve">Print da mensagem de erro</t>
  </si>
  <si>
    <t xml:space="preserve">TN-003</t>
  </si>
  <si>
    <t xml:space="preserve">Login com senha inválida para usuário válido</t>
  </si>
  <si>
    <t xml:space="preserve">Usuário cadastrado no sistema</t>
  </si>
  <si>
    <t xml:space="preserve">Usuário: admin
Senha: senhaerrada</t>
  </si>
  <si>
    <t xml:space="preserve">1. Preencher e-mail válido
2. Preencher senha incorreta
3. Clicar em 'Entrar'</t>
  </si>
  <si>
    <t xml:space="preserve">Mensagem de erro: 'Usuário ou senha inválidos'; acesso negado; campo de senha não revelado</t>
  </si>
  <si>
    <t xml:space="preserve">TN-004</t>
  </si>
  <si>
    <t xml:space="preserve">Login com campo de e-mail vazio</t>
  </si>
  <si>
    <t xml:space="preserve">E-mail: (vazio)
Senha: Admin@123</t>
  </si>
  <si>
    <t xml:space="preserve">1. Deixar o campo de e-mail em branco
2. Preencher a senha corretamente
3. Clicar em 'Entrar'</t>
  </si>
  <si>
    <t xml:space="preserve">Mensagem de campo obrigatório exibida no campo e-mail; login bloqueado</t>
  </si>
  <si>
    <t xml:space="preserve">Print da validação</t>
  </si>
  <si>
    <t xml:space="preserve">TN-005</t>
  </si>
  <si>
    <t xml:space="preserve">Login com campo de senha vazio</t>
  </si>
  <si>
    <t xml:space="preserve">E-mail: admin
Senha: (vazio)</t>
  </si>
  <si>
    <t xml:space="preserve">1. Preencher o e-mail corretamente
2. Deixar o campo de senha em branco
3. Clicar em 'Entrar'</t>
  </si>
  <si>
    <t xml:space="preserve">Mensagem de campo obrigatório exibida no campo senha; login bloqueado</t>
  </si>
  <si>
    <t xml:space="preserve">TN-006</t>
  </si>
  <si>
    <t xml:space="preserve">Login com e-mail em formato inválido</t>
  </si>
  <si>
    <t xml:space="preserve">E-mail: adminsemarroba
Senha: Admin@123</t>
  </si>
  <si>
    <t xml:space="preserve">1. Preencher e-mail sem '@' e sem domínio
2. Preencher senha correta
3. Clicar em 'Entrar'</t>
  </si>
  <si>
    <t xml:space="preserve">Mensagem de validação de formato: 'E-mail inválido'; login bloqueado</t>
  </si>
  <si>
    <t xml:space="preserve">TN-007</t>
  </si>
  <si>
    <t xml:space="preserve">Login com SQL Injection no campo de usuário</t>
  </si>
  <si>
    <t xml:space="preserve">E-mail: ' OR '1'='1
Senha: qualquer</t>
  </si>
  <si>
    <t xml:space="preserve">1. Inserir string de SQL Injection no campo e-mail
2. Preencher qualquer senha
3. Clicar em 'Entrar'</t>
  </si>
  <si>
    <t xml:space="preserve">Acesso negado; sistema não vulnerável a SQL Injection; mensagem de erro genérica exibida</t>
  </si>
  <si>
    <t xml:space="preserve">Print do resultado</t>
  </si>
  <si>
    <t xml:space="preserve">⭐  NOVOS TESTES POSITIVOS – Criados pelo Grupo</t>
  </si>
  <si>
    <t xml:space="preserve">Grupo: _______________  |  Integrantes: _______________  |  Data: ___/___/______</t>
  </si>
  <si>
    <t xml:space="preserve">NP-001</t>
  </si>
  <si>
    <t xml:space="preserve">[Cenário positivo 1 – preencher]</t>
  </si>
  <si>
    <t xml:space="preserve">[Pré-condição]</t>
  </si>
  <si>
    <t xml:space="preserve">[Dados de entrada]</t>
  </si>
  <si>
    <t xml:space="preserve">[Passo 1]
[Passo 2]
[Passo 3]</t>
  </si>
  <si>
    <t xml:space="preserve">[Resultado esperado]</t>
  </si>
  <si>
    <t xml:space="preserve">NP-002</t>
  </si>
  <si>
    <t xml:space="preserve">[Cenário positivo 2 – preencher]</t>
  </si>
  <si>
    <t xml:space="preserve">NP-003</t>
  </si>
  <si>
    <t xml:space="preserve">[Cenário positivo 3 – preencher]</t>
  </si>
  <si>
    <t xml:space="preserve">NP-004</t>
  </si>
  <si>
    <t xml:space="preserve">[Cenário positivo 4 – preencher]</t>
  </si>
  <si>
    <t xml:space="preserve">NP-005</t>
  </si>
  <si>
    <t xml:space="preserve">[Cenário positivo 5 – preencher]</t>
  </si>
  <si>
    <t xml:space="preserve">⭐  NOVOS TESTES NEGATIVOS – Criados pelo Grupo</t>
  </si>
  <si>
    <t xml:space="preserve">NN-001</t>
  </si>
  <si>
    <t xml:space="preserve">[Cenário negativo 1 – preencher]</t>
  </si>
  <si>
    <t xml:space="preserve">[Dados de entrada inválidos]</t>
  </si>
  <si>
    <t xml:space="preserve">[Resultado esperado – mensagem de erro]</t>
  </si>
  <si>
    <t xml:space="preserve">NN-002</t>
  </si>
  <si>
    <t xml:space="preserve">[Cenário negativo 2 – preencher]</t>
  </si>
  <si>
    <t xml:space="preserve">NN-003</t>
  </si>
  <si>
    <t xml:space="preserve">[Cenário negativo 3 – preencher]</t>
  </si>
  <si>
    <t xml:space="preserve">NN-004</t>
  </si>
  <si>
    <t xml:space="preserve">[Cenário negativo 4 – preencher]</t>
  </si>
  <si>
    <t xml:space="preserve">NN-005</t>
  </si>
  <si>
    <t xml:space="preserve">[Cenário negativo 5 – preencher]</t>
  </si>
  <si>
    <t xml:space="preserve">📊  RESUMO DOS TESTES – Painel de Acompanhamento</t>
  </si>
  <si>
    <t xml:space="preserve">Total de Testes</t>
  </si>
  <si>
    <t xml:space="preserve">Testes Passed</t>
  </si>
  <si>
    <t xml:space="preserve">Testes Failed</t>
  </si>
  <si>
    <t xml:space="preserve">Não Executados</t>
  </si>
  <si>
    <t xml:space="preserve">Taxa de Sucesso (%)</t>
  </si>
  <si>
    <t xml:space="preserve">DETALHAMENTO POR SUÍTE</t>
  </si>
  <si>
    <t xml:space="preserve">Suíte de Testes</t>
  </si>
  <si>
    <t xml:space="preserve">Total</t>
  </si>
  <si>
    <t xml:space="preserve">Passed</t>
  </si>
  <si>
    <t xml:space="preserve">Failed</t>
  </si>
  <si>
    <t xml:space="preserve">Testes Positivos</t>
  </si>
  <si>
    <t xml:space="preserve">Testes Negativos</t>
  </si>
  <si>
    <t xml:space="preserve">Novos Positivos</t>
  </si>
  <si>
    <t xml:space="preserve">Novos Negativos</t>
  </si>
  <si>
    <t xml:space="preserve">💡  INSTRUÇÕES DE PREENCHIMENTO</t>
  </si>
  <si>
    <t xml:space="preserve">1. Preencha os campos: Resultado Obtido, Status e Comentários em cada aba de teste.</t>
  </si>
  <si>
    <t xml:space="preserve">2. Status aceitos: Passed  |  Failed  (exatamente como escrito)</t>
  </si>
  <si>
    <t xml:space="preserve">3. Capture evidências (prints) e nomeie como: NomeTeste_Data.png</t>
  </si>
  <si>
    <t xml:space="preserve">4. Crie os 5 novos testes positivos na aba 'NOVOS TESTES – POSITIVOS'.</t>
  </si>
  <si>
    <t xml:space="preserve">5. Crie os 5 novos testes negativos na aba 'NOVOS TESTES – NEGATIVOS'.</t>
  </si>
  <si>
    <t xml:space="preserve">6. Ao concluir, exporte esta planilha como PDF e adicione ao repositório GitHub.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</si>
</sst>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843C0C"/>
      <name val="Arial"/>
      <family val="0"/>
      <charset val="1"/>
    </font>
    <font>
      <b val="true"/>
      <sz val="26"/>
      <color rgb="FF1F3864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26"/>
      <color rgb="FF375623"/>
      <name val="Arial"/>
      <family val="0"/>
      <charset val="1"/>
    </font>
    <font>
      <b val="true"/>
      <sz val="26"/>
      <color rgb="FF843C0C"/>
      <name val="Arial"/>
      <family val="0"/>
      <charset val="1"/>
    </font>
    <font>
      <b val="true"/>
      <sz val="26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6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FFF99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9595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I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9" min="2" style="0" width="18"/>
    <col collapsed="false" customWidth="true" hidden="false" outlineLevel="0" max="10" min="10" style="0" width="4"/>
  </cols>
  <sheetData>
    <row r="1" customFormat="false" ht="19.5" hidden="false" customHeight="true" outlineLevel="0" collapsed="false"/>
    <row r="2" customFormat="false" ht="19.5" hidden="false" customHeight="true" outlineLevel="0" collapsed="false"/>
    <row r="3" customFormat="false" ht="19.5" hidden="false" customHeight="true" outlineLevel="0" collapsed="false">
      <c r="B3" s="1" t="s">
        <v>0</v>
      </c>
      <c r="C3" s="1"/>
      <c r="D3" s="1"/>
      <c r="E3" s="1"/>
      <c r="F3" s="1"/>
      <c r="G3" s="1"/>
      <c r="H3" s="1"/>
      <c r="I3" s="1"/>
    </row>
    <row r="4" customFormat="false" ht="19.5" hidden="false" customHeight="true" outlineLevel="0" collapsed="false">
      <c r="B4" s="1"/>
      <c r="C4" s="1"/>
      <c r="D4" s="1"/>
      <c r="E4" s="1"/>
      <c r="F4" s="1"/>
      <c r="G4" s="1"/>
      <c r="H4" s="1"/>
      <c r="I4" s="1"/>
    </row>
    <row r="5" customFormat="false" ht="19.5" hidden="false" customHeight="true" outlineLevel="0" collapsed="false">
      <c r="B5" s="1"/>
      <c r="C5" s="1"/>
      <c r="D5" s="1"/>
      <c r="E5" s="1"/>
      <c r="F5" s="1"/>
      <c r="G5" s="1"/>
      <c r="H5" s="1"/>
      <c r="I5" s="1"/>
    </row>
    <row r="6" customFormat="false" ht="19.5" hidden="false" customHeight="true" outlineLevel="0" collapsed="false">
      <c r="B6" s="2" t="s">
        <v>1</v>
      </c>
      <c r="C6" s="2"/>
      <c r="D6" s="2"/>
      <c r="E6" s="2"/>
      <c r="F6" s="2"/>
      <c r="G6" s="2"/>
      <c r="H6" s="2"/>
      <c r="I6" s="2"/>
    </row>
    <row r="7" customFormat="false" ht="19.5" hidden="false" customHeight="true" outlineLevel="0" collapsed="false"/>
    <row r="8" customFormat="false" ht="19.5" hidden="false" customHeight="true" outlineLevel="0" collapsed="false"/>
    <row r="9" customFormat="false" ht="24" hidden="false" customHeight="true" outlineLevel="0" collapsed="false">
      <c r="B9" s="3" t="s">
        <v>2</v>
      </c>
      <c r="C9" s="3"/>
      <c r="D9" s="3"/>
      <c r="E9" s="4"/>
      <c r="F9" s="4"/>
      <c r="G9" s="4"/>
      <c r="H9" s="4"/>
      <c r="I9" s="4"/>
    </row>
    <row r="10" customFormat="false" ht="24" hidden="false" customHeight="true" outlineLevel="0" collapsed="false">
      <c r="B10" s="3" t="s">
        <v>3</v>
      </c>
      <c r="C10" s="3"/>
      <c r="D10" s="3"/>
      <c r="E10" s="4"/>
      <c r="F10" s="4"/>
      <c r="G10" s="4"/>
      <c r="H10" s="4"/>
      <c r="I10" s="4"/>
    </row>
    <row r="11" customFormat="false" ht="24" hidden="false" customHeight="true" outlineLevel="0" collapsed="false">
      <c r="B11" s="3"/>
      <c r="C11" s="3"/>
      <c r="D11" s="3"/>
      <c r="E11" s="4"/>
      <c r="F11" s="4"/>
      <c r="G11" s="4"/>
      <c r="H11" s="4"/>
      <c r="I11" s="4"/>
    </row>
    <row r="12" customFormat="false" ht="24" hidden="false" customHeight="true" outlineLevel="0" collapsed="false">
      <c r="B12" s="3"/>
      <c r="C12" s="3"/>
      <c r="D12" s="3"/>
      <c r="E12" s="4"/>
      <c r="F12" s="4"/>
      <c r="G12" s="4"/>
      <c r="H12" s="4"/>
      <c r="I12" s="4"/>
    </row>
    <row r="13" customFormat="false" ht="24" hidden="false" customHeight="true" outlineLevel="0" collapsed="false">
      <c r="B13" s="3" t="s">
        <v>4</v>
      </c>
      <c r="C13" s="3"/>
      <c r="D13" s="3"/>
      <c r="E13" s="4"/>
      <c r="F13" s="4"/>
      <c r="G13" s="4"/>
      <c r="H13" s="4"/>
      <c r="I13" s="4"/>
    </row>
    <row r="14" customFormat="false" ht="24" hidden="false" customHeight="true" outlineLevel="0" collapsed="false">
      <c r="B14" s="3" t="s">
        <v>5</v>
      </c>
      <c r="C14" s="3"/>
      <c r="D14" s="3"/>
      <c r="E14" s="4" t="s">
        <v>6</v>
      </c>
      <c r="F14" s="4"/>
      <c r="G14" s="4"/>
      <c r="H14" s="4"/>
      <c r="I14" s="4"/>
    </row>
    <row r="15" customFormat="false" ht="24" hidden="false" customHeight="true" outlineLevel="0" collapsed="false">
      <c r="B15" s="3" t="s">
        <v>7</v>
      </c>
      <c r="C15" s="3"/>
      <c r="D15" s="3"/>
      <c r="E15" s="4"/>
      <c r="F15" s="4"/>
      <c r="G15" s="4"/>
      <c r="H15" s="4"/>
      <c r="I15" s="4"/>
    </row>
    <row r="16" customFormat="false" ht="24" hidden="false" customHeight="true" outlineLevel="0" collapsed="false">
      <c r="B16" s="3" t="s">
        <v>8</v>
      </c>
      <c r="C16" s="3"/>
      <c r="D16" s="3"/>
      <c r="E16" s="4" t="s">
        <v>9</v>
      </c>
      <c r="F16" s="4"/>
      <c r="G16" s="4"/>
      <c r="H16" s="4"/>
      <c r="I16" s="4"/>
    </row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>
      <c r="B20" s="5" t="s">
        <v>10</v>
      </c>
      <c r="C20" s="5"/>
      <c r="D20" s="5"/>
      <c r="E20" s="5"/>
      <c r="F20" s="5"/>
      <c r="G20" s="5"/>
      <c r="H20" s="5"/>
      <c r="I20" s="5"/>
    </row>
    <row r="21" customFormat="false" ht="79.5" hidden="false" customHeight="true" outlineLevel="0" collapsed="false">
      <c r="B21" s="6" t="s">
        <v>11</v>
      </c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B22" s="6"/>
      <c r="C22" s="6"/>
      <c r="D22" s="6"/>
      <c r="E22" s="6"/>
      <c r="F22" s="6"/>
      <c r="G22" s="6"/>
      <c r="H22" s="6"/>
      <c r="I22" s="6"/>
    </row>
    <row r="23" customFormat="false" ht="19.5" hidden="false" customHeight="true" outlineLevel="0" collapsed="false">
      <c r="B23" s="6"/>
      <c r="C23" s="6"/>
      <c r="D23" s="6"/>
      <c r="E23" s="6"/>
      <c r="F23" s="6"/>
      <c r="G23" s="6"/>
      <c r="H23" s="6"/>
      <c r="I23" s="6"/>
    </row>
    <row r="24" customFormat="false" ht="19.5" hidden="false" customHeight="true" outlineLevel="0" collapsed="false">
      <c r="B24" s="6"/>
      <c r="C24" s="6"/>
      <c r="D24" s="6"/>
      <c r="E24" s="6"/>
      <c r="F24" s="6"/>
      <c r="G24" s="6"/>
      <c r="H24" s="6"/>
      <c r="I24" s="6"/>
    </row>
    <row r="25" customFormat="false" ht="19.5" hidden="false" customHeight="true" outlineLevel="0" collapsed="false">
      <c r="B25" s="6"/>
      <c r="C25" s="6"/>
      <c r="D25" s="6"/>
      <c r="E25" s="6"/>
      <c r="F25" s="6"/>
      <c r="G25" s="6"/>
      <c r="H25" s="6"/>
      <c r="I25" s="6"/>
    </row>
    <row r="26" customFormat="false" ht="19.5" hidden="false" customHeight="true" outlineLevel="0" collapsed="false"/>
    <row r="27" customFormat="false" ht="19.5" hidden="false" customHeight="true" outlineLevel="0" collapsed="false">
      <c r="B27" s="7" t="s">
        <v>12</v>
      </c>
      <c r="C27" s="7"/>
      <c r="D27" s="7"/>
      <c r="E27" s="7"/>
      <c r="F27" s="7"/>
      <c r="G27" s="7"/>
      <c r="H27" s="7"/>
      <c r="I27" s="7"/>
    </row>
    <row r="28" customFormat="false" ht="21.75" hidden="false" customHeight="true" outlineLevel="0" collapsed="false">
      <c r="B28" s="8" t="s">
        <v>13</v>
      </c>
      <c r="C28" s="8"/>
      <c r="D28" s="8"/>
      <c r="E28" s="9" t="s">
        <v>14</v>
      </c>
      <c r="F28" s="9"/>
      <c r="G28" s="9"/>
      <c r="H28" s="9"/>
      <c r="I28" s="9"/>
    </row>
    <row r="29" customFormat="false" ht="21.75" hidden="false" customHeight="true" outlineLevel="0" collapsed="false">
      <c r="B29" s="10" t="s">
        <v>15</v>
      </c>
      <c r="C29" s="10"/>
      <c r="D29" s="10"/>
      <c r="E29" s="9" t="s">
        <v>16</v>
      </c>
      <c r="F29" s="9"/>
      <c r="G29" s="9"/>
      <c r="H29" s="9"/>
      <c r="I29" s="9"/>
    </row>
    <row r="30" customFormat="false" ht="21.75" hidden="false" customHeight="true" outlineLevel="0" collapsed="false">
      <c r="B30" s="11" t="s">
        <v>17</v>
      </c>
      <c r="C30" s="11"/>
      <c r="D30" s="11"/>
      <c r="E30" s="9" t="s">
        <v>18</v>
      </c>
      <c r="F30" s="9"/>
      <c r="G30" s="9"/>
      <c r="H30" s="9"/>
      <c r="I30" s="9"/>
    </row>
    <row r="31" customFormat="false" ht="21.75" hidden="false" customHeight="true" outlineLevel="0" collapsed="false">
      <c r="B31" s="12" t="s">
        <v>19</v>
      </c>
      <c r="C31" s="12"/>
      <c r="D31" s="12"/>
      <c r="E31" s="9" t="s">
        <v>20</v>
      </c>
      <c r="F31" s="9"/>
      <c r="G31" s="9"/>
      <c r="H31" s="9"/>
      <c r="I31" s="9"/>
    </row>
    <row r="32" customFormat="false" ht="21.75" hidden="false" customHeight="true" outlineLevel="0" collapsed="false">
      <c r="B32" s="11" t="s">
        <v>21</v>
      </c>
      <c r="C32" s="11"/>
      <c r="D32" s="11"/>
      <c r="E32" s="9" t="s">
        <v>22</v>
      </c>
      <c r="F32" s="9"/>
      <c r="G32" s="9"/>
      <c r="H32" s="9"/>
      <c r="I32" s="9"/>
    </row>
    <row r="33" customFormat="false" ht="21.75" hidden="false" customHeight="true" outlineLevel="0" collapsed="false">
      <c r="B33" s="13" t="s">
        <v>23</v>
      </c>
      <c r="C33" s="13"/>
      <c r="D33" s="13"/>
      <c r="E33" s="9" t="s">
        <v>24</v>
      </c>
      <c r="F33" s="9"/>
      <c r="G33" s="9"/>
      <c r="H33" s="9"/>
      <c r="I33" s="9"/>
    </row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</sheetData>
  <mergeCells count="33">
    <mergeCell ref="B3:I5"/>
    <mergeCell ref="B6:I6"/>
    <mergeCell ref="B9:D9"/>
    <mergeCell ref="E9:I9"/>
    <mergeCell ref="B10:D10"/>
    <mergeCell ref="E10:I10"/>
    <mergeCell ref="B11:D11"/>
    <mergeCell ref="E11:I11"/>
    <mergeCell ref="B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B20:I20"/>
    <mergeCell ref="B21:I25"/>
    <mergeCell ref="B27:I27"/>
    <mergeCell ref="B28:D28"/>
    <mergeCell ref="E28:I28"/>
    <mergeCell ref="B29:D29"/>
    <mergeCell ref="E29:I29"/>
    <mergeCell ref="B30:D30"/>
    <mergeCell ref="E30:I30"/>
    <mergeCell ref="B31:D31"/>
    <mergeCell ref="E31:I31"/>
    <mergeCell ref="B32:D32"/>
    <mergeCell ref="E32:I32"/>
    <mergeCell ref="B33:D33"/>
    <mergeCell ref="E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8" min="7" style="0" width="32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" hidden="false" customHeight="true" outlineLevel="0" collapsed="false">
      <c r="A2" s="15" t="s">
        <v>26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15" hidden="false" customHeight="false" outlineLevel="0" collapsed="false">
      <c r="A3" s="16" t="s">
        <v>27</v>
      </c>
      <c r="B3" s="16" t="s">
        <v>28</v>
      </c>
      <c r="C3" s="16" t="s">
        <v>29</v>
      </c>
      <c r="D3" s="16" t="s">
        <v>30</v>
      </c>
      <c r="E3" s="16" t="s">
        <v>31</v>
      </c>
      <c r="F3" s="16" t="s">
        <v>32</v>
      </c>
      <c r="G3" s="16" t="s">
        <v>33</v>
      </c>
      <c r="H3" s="16" t="s">
        <v>34</v>
      </c>
      <c r="I3" s="16" t="s">
        <v>35</v>
      </c>
      <c r="J3" s="16" t="s">
        <v>36</v>
      </c>
      <c r="K3" s="16" t="s">
        <v>37</v>
      </c>
    </row>
    <row r="4" customFormat="false" ht="60" hidden="false" customHeight="true" outlineLevel="0" collapsed="false">
      <c r="A4" s="17" t="s">
        <v>38</v>
      </c>
      <c r="B4" s="18" t="s">
        <v>39</v>
      </c>
      <c r="C4" s="17" t="s">
        <v>40</v>
      </c>
      <c r="D4" s="18" t="s">
        <v>41</v>
      </c>
      <c r="E4" s="18" t="s">
        <v>42</v>
      </c>
      <c r="F4" s="18" t="s">
        <v>43</v>
      </c>
      <c r="G4" s="18" t="s">
        <v>44</v>
      </c>
      <c r="H4" s="18"/>
      <c r="I4" s="19" t="s">
        <v>45</v>
      </c>
      <c r="J4" s="18"/>
      <c r="K4" s="17" t="s">
        <v>46</v>
      </c>
    </row>
    <row r="5" customFormat="false" ht="60" hidden="false" customHeight="true" outlineLevel="0" collapsed="false">
      <c r="A5" s="20" t="s">
        <v>47</v>
      </c>
      <c r="B5" s="21" t="s">
        <v>48</v>
      </c>
      <c r="C5" s="20" t="s">
        <v>40</v>
      </c>
      <c r="D5" s="21" t="s">
        <v>49</v>
      </c>
      <c r="E5" s="21" t="s">
        <v>50</v>
      </c>
      <c r="F5" s="21" t="s">
        <v>51</v>
      </c>
      <c r="G5" s="21" t="s">
        <v>52</v>
      </c>
      <c r="H5" s="21"/>
      <c r="I5" s="19" t="s">
        <v>45</v>
      </c>
      <c r="J5" s="21"/>
      <c r="K5" s="20" t="s">
        <v>53</v>
      </c>
    </row>
    <row r="6" customFormat="false" ht="60" hidden="false" customHeight="true" outlineLevel="0" collapsed="false">
      <c r="A6" s="17" t="s">
        <v>54</v>
      </c>
      <c r="B6" s="18" t="s">
        <v>55</v>
      </c>
      <c r="C6" s="17" t="s">
        <v>40</v>
      </c>
      <c r="D6" s="18" t="s">
        <v>56</v>
      </c>
      <c r="E6" s="18" t="s">
        <v>57</v>
      </c>
      <c r="F6" s="18" t="s">
        <v>58</v>
      </c>
      <c r="G6" s="18" t="s">
        <v>59</v>
      </c>
      <c r="H6" s="18"/>
      <c r="I6" s="19" t="s">
        <v>45</v>
      </c>
      <c r="J6" s="18"/>
      <c r="K6" s="17" t="s">
        <v>60</v>
      </c>
    </row>
    <row r="7" customFormat="false" ht="60" hidden="false" customHeight="true" outlineLevel="0" collapsed="false">
      <c r="A7" s="20" t="s">
        <v>61</v>
      </c>
      <c r="B7" s="21" t="s">
        <v>62</v>
      </c>
      <c r="C7" s="20" t="s">
        <v>40</v>
      </c>
      <c r="D7" s="21" t="s">
        <v>63</v>
      </c>
      <c r="E7" s="21" t="s">
        <v>64</v>
      </c>
      <c r="F7" s="21" t="s">
        <v>65</v>
      </c>
      <c r="G7" s="21" t="s">
        <v>66</v>
      </c>
      <c r="H7" s="21"/>
      <c r="I7" s="19" t="s">
        <v>45</v>
      </c>
      <c r="J7" s="21"/>
      <c r="K7" s="20"/>
    </row>
    <row r="8" customFormat="false" ht="60" hidden="false" customHeight="true" outlineLevel="0" collapsed="false">
      <c r="A8" s="17" t="s">
        <v>67</v>
      </c>
      <c r="B8" s="18" t="s">
        <v>68</v>
      </c>
      <c r="C8" s="17" t="s">
        <v>40</v>
      </c>
      <c r="D8" s="18" t="s">
        <v>69</v>
      </c>
      <c r="E8" s="18" t="s">
        <v>70</v>
      </c>
      <c r="F8" s="18" t="s">
        <v>71</v>
      </c>
      <c r="G8" s="18" t="s">
        <v>72</v>
      </c>
      <c r="H8" s="18"/>
      <c r="I8" s="19" t="s">
        <v>45</v>
      </c>
      <c r="J8" s="18"/>
      <c r="K8" s="17"/>
    </row>
  </sheetData>
  <autoFilter ref="A3:K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8" min="7" style="0" width="32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14" t="s">
        <v>73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" hidden="false" customHeight="true" outlineLevel="0" collapsed="false">
      <c r="A2" s="22" t="s">
        <v>26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customFormat="false" ht="15" hidden="false" customHeight="false" outlineLevel="0" collapsed="false">
      <c r="A3" s="23" t="s">
        <v>27</v>
      </c>
      <c r="B3" s="23" t="s">
        <v>28</v>
      </c>
      <c r="C3" s="23" t="s">
        <v>29</v>
      </c>
      <c r="D3" s="23" t="s">
        <v>30</v>
      </c>
      <c r="E3" s="23" t="s">
        <v>31</v>
      </c>
      <c r="F3" s="23" t="s">
        <v>32</v>
      </c>
      <c r="G3" s="23" t="s">
        <v>33</v>
      </c>
      <c r="H3" s="23" t="s">
        <v>34</v>
      </c>
      <c r="I3" s="23" t="s">
        <v>35</v>
      </c>
      <c r="J3" s="23" t="s">
        <v>36</v>
      </c>
      <c r="K3" s="23" t="s">
        <v>37</v>
      </c>
    </row>
    <row r="4" customFormat="false" ht="60" hidden="false" customHeight="true" outlineLevel="0" collapsed="false">
      <c r="A4" s="17" t="s">
        <v>74</v>
      </c>
      <c r="B4" s="18" t="s">
        <v>75</v>
      </c>
      <c r="C4" s="17" t="s">
        <v>76</v>
      </c>
      <c r="D4" s="18" t="s">
        <v>77</v>
      </c>
      <c r="E4" s="18" t="s">
        <v>78</v>
      </c>
      <c r="F4" s="18" t="s">
        <v>79</v>
      </c>
      <c r="G4" s="18" t="s">
        <v>80</v>
      </c>
      <c r="H4" s="18"/>
      <c r="I4" s="19" t="s">
        <v>45</v>
      </c>
      <c r="J4" s="18"/>
      <c r="K4" s="17" t="s">
        <v>81</v>
      </c>
    </row>
    <row r="5" customFormat="false" ht="60" hidden="false" customHeight="true" outlineLevel="0" collapsed="false">
      <c r="A5" s="20" t="s">
        <v>82</v>
      </c>
      <c r="B5" s="21" t="s">
        <v>83</v>
      </c>
      <c r="C5" s="20" t="s">
        <v>76</v>
      </c>
      <c r="D5" s="21" t="s">
        <v>84</v>
      </c>
      <c r="E5" s="21" t="s">
        <v>85</v>
      </c>
      <c r="F5" s="21" t="s">
        <v>86</v>
      </c>
      <c r="G5" s="21" t="s">
        <v>87</v>
      </c>
      <c r="H5" s="21"/>
      <c r="I5" s="19" t="s">
        <v>45</v>
      </c>
      <c r="J5" s="21"/>
      <c r="K5" s="20" t="s">
        <v>88</v>
      </c>
    </row>
    <row r="6" customFormat="false" ht="60" hidden="false" customHeight="true" outlineLevel="0" collapsed="false">
      <c r="A6" s="17" t="s">
        <v>89</v>
      </c>
      <c r="B6" s="18" t="s">
        <v>90</v>
      </c>
      <c r="C6" s="17" t="s">
        <v>76</v>
      </c>
      <c r="D6" s="18" t="s">
        <v>91</v>
      </c>
      <c r="E6" s="18" t="s">
        <v>92</v>
      </c>
      <c r="F6" s="18" t="s">
        <v>93</v>
      </c>
      <c r="G6" s="18" t="s">
        <v>94</v>
      </c>
      <c r="H6" s="18"/>
      <c r="I6" s="19" t="s">
        <v>45</v>
      </c>
      <c r="J6" s="18"/>
      <c r="K6" s="17" t="s">
        <v>88</v>
      </c>
    </row>
    <row r="7" customFormat="false" ht="60" hidden="false" customHeight="true" outlineLevel="0" collapsed="false">
      <c r="A7" s="20" t="s">
        <v>95</v>
      </c>
      <c r="B7" s="21" t="s">
        <v>96</v>
      </c>
      <c r="C7" s="20" t="s">
        <v>76</v>
      </c>
      <c r="D7" s="21" t="s">
        <v>77</v>
      </c>
      <c r="E7" s="21" t="s">
        <v>97</v>
      </c>
      <c r="F7" s="21" t="s">
        <v>98</v>
      </c>
      <c r="G7" s="21" t="s">
        <v>99</v>
      </c>
      <c r="H7" s="21"/>
      <c r="I7" s="19" t="s">
        <v>45</v>
      </c>
      <c r="J7" s="21"/>
      <c r="K7" s="20" t="s">
        <v>100</v>
      </c>
    </row>
    <row r="8" customFormat="false" ht="60" hidden="false" customHeight="true" outlineLevel="0" collapsed="false">
      <c r="A8" s="17" t="s">
        <v>101</v>
      </c>
      <c r="B8" s="18" t="s">
        <v>102</v>
      </c>
      <c r="C8" s="17" t="s">
        <v>76</v>
      </c>
      <c r="D8" s="18" t="s">
        <v>77</v>
      </c>
      <c r="E8" s="18" t="s">
        <v>103</v>
      </c>
      <c r="F8" s="18" t="s">
        <v>104</v>
      </c>
      <c r="G8" s="18" t="s">
        <v>105</v>
      </c>
      <c r="H8" s="18"/>
      <c r="I8" s="19" t="s">
        <v>45</v>
      </c>
      <c r="J8" s="18"/>
      <c r="K8" s="17" t="s">
        <v>100</v>
      </c>
    </row>
    <row r="9" customFormat="false" ht="60" hidden="false" customHeight="true" outlineLevel="0" collapsed="false">
      <c r="A9" s="20" t="s">
        <v>106</v>
      </c>
      <c r="B9" s="21" t="s">
        <v>107</v>
      </c>
      <c r="C9" s="20" t="s">
        <v>76</v>
      </c>
      <c r="D9" s="21" t="s">
        <v>77</v>
      </c>
      <c r="E9" s="21" t="s">
        <v>108</v>
      </c>
      <c r="F9" s="21" t="s">
        <v>109</v>
      </c>
      <c r="G9" s="21" t="s">
        <v>110</v>
      </c>
      <c r="H9" s="21"/>
      <c r="I9" s="19" t="s">
        <v>45</v>
      </c>
      <c r="J9" s="21"/>
      <c r="K9" s="20"/>
    </row>
    <row r="10" customFormat="false" ht="60" hidden="false" customHeight="true" outlineLevel="0" collapsed="false">
      <c r="A10" s="17" t="s">
        <v>111</v>
      </c>
      <c r="B10" s="18" t="s">
        <v>112</v>
      </c>
      <c r="C10" s="17" t="s">
        <v>76</v>
      </c>
      <c r="D10" s="18" t="s">
        <v>77</v>
      </c>
      <c r="E10" s="18" t="s">
        <v>113</v>
      </c>
      <c r="F10" s="18" t="s">
        <v>114</v>
      </c>
      <c r="G10" s="18" t="s">
        <v>115</v>
      </c>
      <c r="H10" s="18"/>
      <c r="I10" s="19" t="s">
        <v>45</v>
      </c>
      <c r="J10" s="18"/>
      <c r="K10" s="17" t="s">
        <v>116</v>
      </c>
    </row>
  </sheetData>
  <autoFilter ref="A3:K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000"/>
    <pageSetUpPr fitToPage="tru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8" min="7" style="0" width="32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14" t="s">
        <v>117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" hidden="false" customHeight="true" outlineLevel="0" collapsed="false">
      <c r="A2" s="24" t="s">
        <v>118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customFormat="false" ht="15" hidden="false" customHeight="false" outlineLevel="0" collapsed="false">
      <c r="A3" s="25" t="s">
        <v>27</v>
      </c>
      <c r="B3" s="25" t="s">
        <v>28</v>
      </c>
      <c r="C3" s="25" t="s">
        <v>29</v>
      </c>
      <c r="D3" s="25" t="s">
        <v>30</v>
      </c>
      <c r="E3" s="25" t="s">
        <v>31</v>
      </c>
      <c r="F3" s="25" t="s">
        <v>32</v>
      </c>
      <c r="G3" s="25" t="s">
        <v>33</v>
      </c>
      <c r="H3" s="25" t="s">
        <v>34</v>
      </c>
      <c r="I3" s="25" t="s">
        <v>35</v>
      </c>
      <c r="J3" s="25" t="s">
        <v>36</v>
      </c>
      <c r="K3" s="25" t="s">
        <v>37</v>
      </c>
    </row>
    <row r="4" customFormat="false" ht="60" hidden="false" customHeight="true" outlineLevel="0" collapsed="false">
      <c r="A4" s="17" t="s">
        <v>119</v>
      </c>
      <c r="B4" s="26" t="s">
        <v>120</v>
      </c>
      <c r="C4" s="17" t="s">
        <v>40</v>
      </c>
      <c r="D4" s="26" t="s">
        <v>121</v>
      </c>
      <c r="E4" s="26" t="s">
        <v>122</v>
      </c>
      <c r="F4" s="26" t="s">
        <v>123</v>
      </c>
      <c r="G4" s="26" t="s">
        <v>124</v>
      </c>
      <c r="H4" s="18"/>
      <c r="I4" s="27" t="s">
        <v>45</v>
      </c>
      <c r="J4" s="18"/>
      <c r="K4" s="17"/>
    </row>
    <row r="5" customFormat="false" ht="60" hidden="false" customHeight="true" outlineLevel="0" collapsed="false">
      <c r="A5" s="20" t="s">
        <v>125</v>
      </c>
      <c r="B5" s="26" t="s">
        <v>126</v>
      </c>
      <c r="C5" s="20" t="s">
        <v>40</v>
      </c>
      <c r="D5" s="26" t="s">
        <v>121</v>
      </c>
      <c r="E5" s="26" t="s">
        <v>122</v>
      </c>
      <c r="F5" s="26" t="s">
        <v>123</v>
      </c>
      <c r="G5" s="26" t="s">
        <v>124</v>
      </c>
      <c r="H5" s="21"/>
      <c r="I5" s="27" t="s">
        <v>45</v>
      </c>
      <c r="J5" s="21"/>
      <c r="K5" s="20"/>
    </row>
    <row r="6" customFormat="false" ht="60" hidden="false" customHeight="true" outlineLevel="0" collapsed="false">
      <c r="A6" s="17" t="s">
        <v>127</v>
      </c>
      <c r="B6" s="26" t="s">
        <v>128</v>
      </c>
      <c r="C6" s="17" t="s">
        <v>40</v>
      </c>
      <c r="D6" s="26" t="s">
        <v>121</v>
      </c>
      <c r="E6" s="26" t="s">
        <v>122</v>
      </c>
      <c r="F6" s="26" t="s">
        <v>123</v>
      </c>
      <c r="G6" s="26" t="s">
        <v>124</v>
      </c>
      <c r="H6" s="18"/>
      <c r="I6" s="27" t="s">
        <v>45</v>
      </c>
      <c r="J6" s="18"/>
      <c r="K6" s="17"/>
    </row>
    <row r="7" customFormat="false" ht="60" hidden="false" customHeight="true" outlineLevel="0" collapsed="false">
      <c r="A7" s="20" t="s">
        <v>129</v>
      </c>
      <c r="B7" s="26" t="s">
        <v>130</v>
      </c>
      <c r="C7" s="20" t="s">
        <v>40</v>
      </c>
      <c r="D7" s="26" t="s">
        <v>121</v>
      </c>
      <c r="E7" s="26" t="s">
        <v>122</v>
      </c>
      <c r="F7" s="26" t="s">
        <v>123</v>
      </c>
      <c r="G7" s="26" t="s">
        <v>124</v>
      </c>
      <c r="H7" s="21"/>
      <c r="I7" s="27" t="s">
        <v>45</v>
      </c>
      <c r="J7" s="21"/>
      <c r="K7" s="20"/>
    </row>
    <row r="8" customFormat="false" ht="60" hidden="false" customHeight="true" outlineLevel="0" collapsed="false">
      <c r="A8" s="17" t="s">
        <v>131</v>
      </c>
      <c r="B8" s="26" t="s">
        <v>132</v>
      </c>
      <c r="C8" s="17" t="s">
        <v>40</v>
      </c>
      <c r="D8" s="26" t="s">
        <v>121</v>
      </c>
      <c r="E8" s="26" t="s">
        <v>122</v>
      </c>
      <c r="F8" s="26" t="s">
        <v>123</v>
      </c>
      <c r="G8" s="26" t="s">
        <v>124</v>
      </c>
      <c r="H8" s="18"/>
      <c r="I8" s="27" t="s">
        <v>45</v>
      </c>
      <c r="J8" s="18"/>
      <c r="K8" s="17"/>
    </row>
  </sheetData>
  <autoFilter ref="A3:K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5"/>
    <col collapsed="false" customWidth="true" hidden="false" outlineLevel="0" max="8" min="7" style="0" width="32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18"/>
  </cols>
  <sheetData>
    <row r="1" customFormat="false" ht="31.5" hidden="false" customHeight="true" outlineLevel="0" collapsed="false">
      <c r="A1" s="14" t="s">
        <v>133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" hidden="false" customHeight="true" outlineLevel="0" collapsed="false">
      <c r="A2" s="22" t="s">
        <v>118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customFormat="false" ht="15" hidden="false" customHeight="false" outlineLevel="0" collapsed="false">
      <c r="A3" s="23" t="s">
        <v>27</v>
      </c>
      <c r="B3" s="23" t="s">
        <v>28</v>
      </c>
      <c r="C3" s="23" t="s">
        <v>29</v>
      </c>
      <c r="D3" s="23" t="s">
        <v>30</v>
      </c>
      <c r="E3" s="23" t="s">
        <v>31</v>
      </c>
      <c r="F3" s="23" t="s">
        <v>32</v>
      </c>
      <c r="G3" s="23" t="s">
        <v>33</v>
      </c>
      <c r="H3" s="23" t="s">
        <v>34</v>
      </c>
      <c r="I3" s="23" t="s">
        <v>35</v>
      </c>
      <c r="J3" s="23" t="s">
        <v>36</v>
      </c>
      <c r="K3" s="23" t="s">
        <v>37</v>
      </c>
    </row>
    <row r="4" customFormat="false" ht="60" hidden="false" customHeight="true" outlineLevel="0" collapsed="false">
      <c r="A4" s="17" t="s">
        <v>134</v>
      </c>
      <c r="B4" s="28" t="s">
        <v>135</v>
      </c>
      <c r="C4" s="17" t="s">
        <v>76</v>
      </c>
      <c r="D4" s="28" t="s">
        <v>121</v>
      </c>
      <c r="E4" s="28" t="s">
        <v>136</v>
      </c>
      <c r="F4" s="28" t="s">
        <v>123</v>
      </c>
      <c r="G4" s="28" t="s">
        <v>137</v>
      </c>
      <c r="H4" s="18"/>
      <c r="I4" s="29" t="s">
        <v>45</v>
      </c>
      <c r="J4" s="18"/>
      <c r="K4" s="17"/>
    </row>
    <row r="5" customFormat="false" ht="60" hidden="false" customHeight="true" outlineLevel="0" collapsed="false">
      <c r="A5" s="20" t="s">
        <v>138</v>
      </c>
      <c r="B5" s="28" t="s">
        <v>139</v>
      </c>
      <c r="C5" s="20" t="s">
        <v>76</v>
      </c>
      <c r="D5" s="28" t="s">
        <v>121</v>
      </c>
      <c r="E5" s="28" t="s">
        <v>136</v>
      </c>
      <c r="F5" s="28" t="s">
        <v>123</v>
      </c>
      <c r="G5" s="28" t="s">
        <v>137</v>
      </c>
      <c r="H5" s="21"/>
      <c r="I5" s="29" t="s">
        <v>45</v>
      </c>
      <c r="J5" s="21"/>
      <c r="K5" s="20"/>
    </row>
    <row r="6" customFormat="false" ht="60" hidden="false" customHeight="true" outlineLevel="0" collapsed="false">
      <c r="A6" s="17" t="s">
        <v>140</v>
      </c>
      <c r="B6" s="28" t="s">
        <v>141</v>
      </c>
      <c r="C6" s="17" t="s">
        <v>76</v>
      </c>
      <c r="D6" s="28" t="s">
        <v>121</v>
      </c>
      <c r="E6" s="28" t="s">
        <v>136</v>
      </c>
      <c r="F6" s="28" t="s">
        <v>123</v>
      </c>
      <c r="G6" s="28" t="s">
        <v>137</v>
      </c>
      <c r="H6" s="18"/>
      <c r="I6" s="29" t="s">
        <v>45</v>
      </c>
      <c r="J6" s="18"/>
      <c r="K6" s="17"/>
    </row>
    <row r="7" customFormat="false" ht="60" hidden="false" customHeight="true" outlineLevel="0" collapsed="false">
      <c r="A7" s="20" t="s">
        <v>142</v>
      </c>
      <c r="B7" s="28" t="s">
        <v>143</v>
      </c>
      <c r="C7" s="20" t="s">
        <v>76</v>
      </c>
      <c r="D7" s="28" t="s">
        <v>121</v>
      </c>
      <c r="E7" s="28" t="s">
        <v>136</v>
      </c>
      <c r="F7" s="28" t="s">
        <v>123</v>
      </c>
      <c r="G7" s="28" t="s">
        <v>137</v>
      </c>
      <c r="H7" s="21"/>
      <c r="I7" s="29" t="s">
        <v>45</v>
      </c>
      <c r="J7" s="21"/>
      <c r="K7" s="20"/>
    </row>
    <row r="8" customFormat="false" ht="60" hidden="false" customHeight="true" outlineLevel="0" collapsed="false">
      <c r="A8" s="17" t="s">
        <v>144</v>
      </c>
      <c r="B8" s="28" t="s">
        <v>145</v>
      </c>
      <c r="C8" s="17" t="s">
        <v>76</v>
      </c>
      <c r="D8" s="28" t="s">
        <v>121</v>
      </c>
      <c r="E8" s="28" t="s">
        <v>136</v>
      </c>
      <c r="F8" s="28" t="s">
        <v>123</v>
      </c>
      <c r="G8" s="28" t="s">
        <v>137</v>
      </c>
      <c r="H8" s="18"/>
      <c r="I8" s="29" t="s">
        <v>45</v>
      </c>
      <c r="J8" s="18"/>
      <c r="K8" s="17"/>
    </row>
  </sheetData>
  <autoFilter ref="A3:K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3"/>
  </cols>
  <sheetData>
    <row r="1" customFormat="false" ht="31.5" hidden="false" customHeight="true" outlineLevel="0" collapsed="false">
      <c r="A1" s="14" t="s">
        <v>146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customFormat="false" ht="21.75" hidden="false" customHeight="true" outlineLevel="0" collapsed="false">
      <c r="B3" s="30" t="s">
        <v>147</v>
      </c>
      <c r="C3" s="30"/>
      <c r="D3" s="30"/>
      <c r="E3" s="30"/>
    </row>
    <row r="4" customFormat="false" ht="39.75" hidden="false" customHeight="true" outlineLevel="0" collapsed="false">
      <c r="B4" s="31" t="n">
        <f aca="false">COUNTA('TESTES POSITIVOS'!A4:A100)+COUNTA('TESTES NEGATIVOS'!A4:A100)</f>
        <v>12</v>
      </c>
      <c r="C4" s="31"/>
      <c r="D4" s="31"/>
      <c r="E4" s="31"/>
    </row>
    <row r="6" customFormat="false" ht="21.75" hidden="false" customHeight="true" outlineLevel="0" collapsed="false">
      <c r="B6" s="32" t="s">
        <v>148</v>
      </c>
      <c r="C6" s="32"/>
      <c r="D6" s="32"/>
      <c r="E6" s="32"/>
    </row>
    <row r="7" customFormat="false" ht="39.75" hidden="false" customHeight="true" outlineLevel="0" collapsed="false">
      <c r="B7" s="33" t="n">
        <f aca="false">COUNTIF('TESTES POSITIVOS'!I4:I100,"Passed")+COUNTIF('TESTES NEGATIVOS'!I4:I100,"Passed")</f>
        <v>0</v>
      </c>
      <c r="C7" s="33"/>
      <c r="D7" s="33"/>
      <c r="E7" s="33"/>
    </row>
    <row r="9" customFormat="false" ht="21.75" hidden="false" customHeight="true" outlineLevel="0" collapsed="false">
      <c r="B9" s="34" t="s">
        <v>149</v>
      </c>
      <c r="C9" s="34"/>
      <c r="D9" s="34"/>
      <c r="E9" s="34"/>
    </row>
    <row r="10" customFormat="false" ht="39.75" hidden="false" customHeight="true" outlineLevel="0" collapsed="false">
      <c r="B10" s="35" t="n">
        <f aca="false">COUNTIF('TESTES POSITIVOS'!I4:I100,"Failed")+COUNTIF('TESTES NEGATIVOS'!I4:I100,"Failed")</f>
        <v>0</v>
      </c>
      <c r="C10" s="35"/>
      <c r="D10" s="35"/>
      <c r="E10" s="35"/>
    </row>
    <row r="12" customFormat="false" ht="21.75" hidden="false" customHeight="true" outlineLevel="0" collapsed="false">
      <c r="B12" s="36" t="s">
        <v>150</v>
      </c>
      <c r="C12" s="36"/>
      <c r="D12" s="36"/>
      <c r="E12" s="36"/>
    </row>
    <row r="13" customFormat="false" ht="39.75" hidden="false" customHeight="true" outlineLevel="0" collapsed="false">
      <c r="B13" s="37" t="n">
        <f aca="false">COUNTA('TESTES POSITIVOS'!A4:A100)+COUNTA('TESTES NEGATIVOS'!A4:A100)-COUNTIF('TESTES POSITIVOS'!I4:I100,"Passed")-COUNTIF('TESTES NEGATIVOS'!I4:I100,"Passed")-COUNTIF('TESTES POSITIVOS'!I4:I100,"Failed")-COUNTIF('TESTES NEGATIVOS'!I4:I100,"Failed")</f>
        <v>12</v>
      </c>
      <c r="C13" s="37"/>
      <c r="D13" s="37"/>
      <c r="E13" s="37"/>
    </row>
    <row r="16" customFormat="false" ht="21.75" hidden="false" customHeight="true" outlineLevel="0" collapsed="false">
      <c r="B16" s="38" t="s">
        <v>151</v>
      </c>
      <c r="C16" s="38"/>
      <c r="D16" s="38"/>
      <c r="E16" s="38"/>
    </row>
    <row r="17" customFormat="false" ht="39.75" hidden="false" customHeight="true" outlineLevel="0" collapsed="false">
      <c r="B17" s="39" t="str">
        <f aca="false">IFERROR(TEXT((COUNTIF('TESTES POSITIVOS'!I4:I100,"Passed")+COUNTIF('TESTES NEGATIVOS'!I4:I100,"Passed"))/(COUNTA('TESTES POSITIVOS'!A4:A100)+COUNTA('TESTES NEGATIVOS'!A4:A100)),"0.0%"),"0.0%")</f>
        <v>0.0%</v>
      </c>
      <c r="C17" s="39"/>
      <c r="D17" s="39"/>
      <c r="E17" s="39"/>
    </row>
    <row r="19" customFormat="false" ht="24" hidden="false" customHeight="true" outlineLevel="0" collapsed="false">
      <c r="B19" s="40" t="s">
        <v>152</v>
      </c>
      <c r="C19" s="40"/>
      <c r="D19" s="40"/>
      <c r="E19" s="40"/>
    </row>
    <row r="20" customFormat="false" ht="21.75" hidden="false" customHeight="true" outlineLevel="0" collapsed="false">
      <c r="B20" s="41" t="s">
        <v>153</v>
      </c>
      <c r="C20" s="41" t="s">
        <v>154</v>
      </c>
      <c r="D20" s="41" t="s">
        <v>155</v>
      </c>
      <c r="E20" s="41" t="s">
        <v>156</v>
      </c>
    </row>
    <row r="21" customFormat="false" ht="21.75" hidden="false" customHeight="true" outlineLevel="0" collapsed="false">
      <c r="B21" s="17" t="s">
        <v>157</v>
      </c>
      <c r="C21" s="17" t="n">
        <f aca="false">COUNTA('TESTES POSITIVOS'!A4:A100)</f>
        <v>5</v>
      </c>
      <c r="D21" s="17" t="n">
        <f aca="false">COUNTIF('TESTES POSITIVOS'!I4:I100,"Passed")</f>
        <v>0</v>
      </c>
      <c r="E21" s="17" t="n">
        <f aca="false">COUNTIF('TESTES POSITIVOS'!I4:I100,"Failed")</f>
        <v>0</v>
      </c>
    </row>
    <row r="22" customFormat="false" ht="21.75" hidden="false" customHeight="true" outlineLevel="0" collapsed="false">
      <c r="B22" s="20" t="s">
        <v>158</v>
      </c>
      <c r="C22" s="20" t="n">
        <f aca="false">COUNTA('TESTES NEGATIVOS'!A4:A100)</f>
        <v>7</v>
      </c>
      <c r="D22" s="20" t="n">
        <f aca="false">COUNTIF('TESTES NEGATIVOS'!I4:I100,"Passed")</f>
        <v>0</v>
      </c>
      <c r="E22" s="20" t="n">
        <f aca="false">COUNTIF('TESTES NEGATIVOS'!I4:I100,"Failed")</f>
        <v>0</v>
      </c>
    </row>
    <row r="23" customFormat="false" ht="21.75" hidden="false" customHeight="true" outlineLevel="0" collapsed="false">
      <c r="B23" s="17" t="s">
        <v>159</v>
      </c>
      <c r="C23" s="17" t="n">
        <f aca="false">COUNTA('NOVOS TESTES – POSITIVOS'!A4:A100)</f>
        <v>5</v>
      </c>
      <c r="D23" s="17" t="n">
        <f aca="false">COUNTIF('NOVOS TESTES – POSITIVOS'!I4:I100,"Passed")</f>
        <v>0</v>
      </c>
      <c r="E23" s="17" t="n">
        <f aca="false">COUNTIF('NOVOS TESTES – POSITIVOS'!I4:I100,"Failed")</f>
        <v>0</v>
      </c>
    </row>
    <row r="24" customFormat="false" ht="21.75" hidden="false" customHeight="true" outlineLevel="0" collapsed="false">
      <c r="B24" s="20" t="s">
        <v>160</v>
      </c>
      <c r="C24" s="20" t="n">
        <f aca="false">COUNTA('NOVOS TESTES – NEGATIVOS'!A4:A100)</f>
        <v>5</v>
      </c>
      <c r="D24" s="20" t="n">
        <f aca="false">COUNTIF('NOVOS TESTES – NEGATIVOS'!I4:I100,"Passed")</f>
        <v>0</v>
      </c>
      <c r="E24" s="20" t="n">
        <f aca="false">COUNTIF('NOVOS TESTES – NEGATIVOS'!I4:I100,"Failed")</f>
        <v>0</v>
      </c>
    </row>
    <row r="26" customFormat="false" ht="21.75" hidden="false" customHeight="true" outlineLevel="0" collapsed="false">
      <c r="B26" s="42" t="s">
        <v>161</v>
      </c>
      <c r="C26" s="42"/>
      <c r="D26" s="42"/>
      <c r="E26" s="42"/>
    </row>
    <row r="27" customFormat="false" ht="19.5" hidden="false" customHeight="true" outlineLevel="0" collapsed="false">
      <c r="B27" s="9" t="s">
        <v>162</v>
      </c>
      <c r="C27" s="9"/>
      <c r="D27" s="9"/>
      <c r="E27" s="9"/>
    </row>
    <row r="28" customFormat="false" ht="19.5" hidden="false" customHeight="true" outlineLevel="0" collapsed="false">
      <c r="B28" s="43" t="s">
        <v>163</v>
      </c>
      <c r="C28" s="43"/>
      <c r="D28" s="43"/>
      <c r="E28" s="43"/>
    </row>
    <row r="29" customFormat="false" ht="19.5" hidden="false" customHeight="true" outlineLevel="0" collapsed="false">
      <c r="B29" s="9" t="s">
        <v>164</v>
      </c>
      <c r="C29" s="9"/>
      <c r="D29" s="9"/>
      <c r="E29" s="9"/>
    </row>
    <row r="30" customFormat="false" ht="19.5" hidden="false" customHeight="true" outlineLevel="0" collapsed="false">
      <c r="B30" s="43" t="s">
        <v>165</v>
      </c>
      <c r="C30" s="43"/>
      <c r="D30" s="43"/>
      <c r="E30" s="43"/>
    </row>
    <row r="31" customFormat="false" ht="19.5" hidden="false" customHeight="true" outlineLevel="0" collapsed="false">
      <c r="B31" s="9" t="s">
        <v>166</v>
      </c>
      <c r="C31" s="9"/>
      <c r="D31" s="9"/>
      <c r="E31" s="9"/>
    </row>
    <row r="32" customFormat="false" ht="19.5" hidden="false" customHeight="true" outlineLevel="0" collapsed="false">
      <c r="B32" s="43" t="s">
        <v>167</v>
      </c>
      <c r="C32" s="43"/>
      <c r="D32" s="43"/>
      <c r="E32" s="43"/>
    </row>
  </sheetData>
  <mergeCells count="19">
    <mergeCell ref="A1:K1"/>
    <mergeCell ref="B3:E3"/>
    <mergeCell ref="B4:E4"/>
    <mergeCell ref="B6:E6"/>
    <mergeCell ref="B7:E7"/>
    <mergeCell ref="B9:E9"/>
    <mergeCell ref="B10:E10"/>
    <mergeCell ref="B12:E12"/>
    <mergeCell ref="B13:E13"/>
    <mergeCell ref="B16:E16"/>
    <mergeCell ref="B17:E17"/>
    <mergeCell ref="B19:E19"/>
    <mergeCell ref="B26:E26"/>
    <mergeCell ref="B27:E27"/>
    <mergeCell ref="B28:E28"/>
    <mergeCell ref="B29:E29"/>
    <mergeCell ref="B30:E30"/>
    <mergeCell ref="B31:E31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2026-05-20T18:38:33Z</dcterms:created>
  <dc:creator>openpyxl</dc:creator>
  <dc:description/>
  <dc:language>en-US</dc:language>
  <cp:lastModifiedBy/>
  <dcterms:modified xsi:type="dcterms:W3CDTF">2026-05-20T18:38:33Z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