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  <sheet name="Novos Casos de Teste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<sst xmlns="http://schemas.openxmlformats.org/spreadsheetml/2006/main" count="267" uniqueCount="203">
  <si>
    <t xml:space="preserve">PLANO DE TESTES MANUAIS – PROJETO INTEGRADOR WEB</t>
  </si>
  <si>
    <t xml:space="preserve">Disciplina: Qualidade de Software  |  Atividade 07 – Execução de Testes Manuais</t>
  </si>
  <si>
    <t xml:space="preserve">ID</t>
  </si>
  <si>
    <t xml:space="preserve">Cenário de Teste</t>
  </si>
  <si>
    <t xml:space="preserve">Tipo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</si>
  <si>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</si>
  <si>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</si>
  <si>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</si>
  <si>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</si>
  <si>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</si>
  <si>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Evidência</t>
  </si>
  <si>
    <t xml:space="preserve">Responsável</t>
  </si>
  <si>
    <t xml:space="preserve">CT-01</t>
  </si>
  <si>
    <t xml:space="preserve">Login com credenciais válidas</t>
  </si>
  <si>
    <t xml:space="preserve">Positivo</t>
  </si>
  <si>
    <t xml:space="preserve">Usuário: admin@email.com / Senha: Admin@123</t>
  </si>
  <si>
    <t xml:space="preserve">Sistema autentica e redireciona para o dashboard</t>
  </si>
  <si>
    <t xml:space="preserve">Login realizado com sucesso; dashboard carregado</t>
  </si>
  <si>
    <t xml:space="preserve">Passed</t>
  </si>
  <si>
    <t xml:space="preserve">Dashboard exibido corretamente com menu lateral</t>
  </si>
  <si>
    <t xml:space="preserve">login-sucesso.png</t>
  </si>
  <si>
    <t xml:space="preserve">CT-02</t>
  </si>
  <si>
    <t xml:space="preserve">Navegação entre páginas</t>
  </si>
  <si>
    <t xml:space="preserve">Usuário autenticado; clique nos itens de menu</t>
  </si>
  <si>
    <t xml:space="preserve">Cada página carrega sem erros (HTTP 200)</t>
  </si>
  <si>
    <t xml:space="preserve">Todas as páginas navegadas sem erros</t>
  </si>
  <si>
    <t xml:space="preserve">Links ativos; sem redirecionamentos inesperados</t>
  </si>
  <si>
    <t xml:space="preserve">navegacao.png</t>
  </si>
  <si>
    <t xml:space="preserve">CT-03</t>
  </si>
  <si>
    <t xml:space="preserve">Cadastro de registro com dados válidos</t>
  </si>
  <si>
    <t xml:space="preserve">Campos obrigatórios preenchidos corretamente</t>
  </si>
  <si>
    <t xml:space="preserve">Registro salvo e mensagem de sucesso exibida</t>
  </si>
  <si>
    <t xml:space="preserve">Registro criado; mensagem 'Cadastro realizado com sucesso'</t>
  </si>
  <si>
    <t xml:space="preserve">ID único gerado automaticamente</t>
  </si>
  <si>
    <t xml:space="preserve">cadastro-sucesso.png</t>
  </si>
  <si>
    <t xml:space="preserve">CT-04</t>
  </si>
  <si>
    <t xml:space="preserve">Edição de registro existente</t>
  </si>
  <si>
    <t xml:space="preserve">Alterar nome e telefone de um registro</t>
  </si>
  <si>
    <t xml:space="preserve">Dados atualizados e mensagem de confirmação</t>
  </si>
  <si>
    <t xml:space="preserve">Alterações salvas; 'Registro atualizado com sucesso'</t>
  </si>
  <si>
    <t xml:space="preserve">Data de atualização registrada corretamente</t>
  </si>
  <si>
    <t xml:space="preserve">edicao-sucesso.png</t>
  </si>
  <si>
    <t xml:space="preserve">CT-05</t>
  </si>
  <si>
    <t xml:space="preserve">Pesquisa / filtro de dados</t>
  </si>
  <si>
    <t xml:space="preserve">Busca por nome parcial 'Silva'</t>
  </si>
  <si>
    <t xml:space="preserve">Lista filtrada com registros correspondentes</t>
  </si>
  <si>
    <t xml:space="preserve">3 registros retornados com 'Silva' no nome</t>
  </si>
  <si>
    <t xml:space="preserve">Paginação funcionando na lista filtrada</t>
  </si>
  <si>
    <t xml:space="preserve">pesquisa-sucesso.png</t>
  </si>
  <si>
    <t xml:space="preserve">CT-06</t>
  </si>
  <si>
    <t xml:space="preserve">Logout do sistema</t>
  </si>
  <si>
    <t xml:space="preserve">Clique em 'Sair' após autenticação</t>
  </si>
  <si>
    <t xml:space="preserve">Sessão encerrada; redireciona para tela de login</t>
  </si>
  <si>
    <t xml:space="preserve">Redirecionado para /login; sessão destruída</t>
  </si>
  <si>
    <t xml:space="preserve">Token de sessão invalidado no servidor</t>
  </si>
  <si>
    <t xml:space="preserve">logout-sucesso.png</t>
  </si>
  <si>
    <t xml:space="preserve">CT-07</t>
  </si>
  <si>
    <t xml:space="preserve">Mensagem de sucesso após ação</t>
  </si>
  <si>
    <t xml:space="preserve">Realizar qualquer operação de CRUD válida</t>
  </si>
  <si>
    <t xml:space="preserve">Toast / alert de sucesso exibido por ≥ 3 s</t>
  </si>
  <si>
    <t xml:space="preserve">Mensagem exibida e desapareceu após 4 s</t>
  </si>
  <si>
    <t xml:space="preserve">Cor verde; ícone de check visível</t>
  </si>
  <si>
    <t xml:space="preserve">msg-sucesso.png</t>
  </si>
  <si>
    <t xml:space="preserve">CT-08</t>
  </si>
  <si>
    <t xml:space="preserve">Carregamento correto das páginas</t>
  </si>
  <si>
    <t xml:space="preserve">Acessar todas as rotas do sistema</t>
  </si>
  <si>
    <t xml:space="preserve">Páginas carregam em &lt; 3 s sem erros no console</t>
  </si>
  <si>
    <t xml:space="preserve">Tempo médio: 1,2 s; nenhum erro no console</t>
  </si>
  <si>
    <t xml:space="preserve">Testado com Chrome DevTools Network</t>
  </si>
  <si>
    <t xml:space="preserve">carregamento.png</t>
  </si>
  <si>
    <t xml:space="preserve">CT-09</t>
  </si>
  <si>
    <t xml:space="preserve">Login sem preencher campos</t>
  </si>
  <si>
    <t xml:space="preserve">Negativo</t>
  </si>
  <si>
    <t xml:space="preserve">Usuário: (vazio) / Senha: (vazio)</t>
  </si>
  <si>
    <t xml:space="preserve">Campos destacados em vermelho; mensagem de erro</t>
  </si>
  <si>
    <t xml:space="preserve">Mensagem 'Preencha todos os campos obrigatórios'</t>
  </si>
  <si>
    <t xml:space="preserve">Foco retornou ao campo Usuário</t>
  </si>
  <si>
    <t xml:space="preserve">login-campos-vazios.png</t>
  </si>
  <si>
    <t xml:space="preserve">CT-10</t>
  </si>
  <si>
    <t xml:space="preserve">Login com usuário inválido</t>
  </si>
  <si>
    <t xml:space="preserve">Usuário: usuario_inexistente@email.com</t>
  </si>
  <si>
    <t xml:space="preserve">Mensagem 'Usuário ou senha inválidos'</t>
  </si>
  <si>
    <t xml:space="preserve">Mensagem exibida; acesso negado</t>
  </si>
  <si>
    <t xml:space="preserve">Sistema não especifica qual campo está errado</t>
  </si>
  <si>
    <t xml:space="preserve">login-invalido.png</t>
  </si>
  <si>
    <t xml:space="preserve">CT-11</t>
  </si>
  <si>
    <t xml:space="preserve">Login com senha incorreta</t>
  </si>
  <si>
    <t xml:space="preserve">Usuário: admin@email.com / Senha: SenhaErrada</t>
  </si>
  <si>
    <t xml:space="preserve">Mensagem de erro; acesso negado</t>
  </si>
  <si>
    <t xml:space="preserve">Mensagem 'Usuário ou senha inválidos' exibida</t>
  </si>
  <si>
    <t xml:space="preserve">Campo senha não exposto nos logs</t>
  </si>
  <si>
    <t xml:space="preserve">login-senha-errada.png</t>
  </si>
  <si>
    <t xml:space="preserve">CT-12</t>
  </si>
  <si>
    <t xml:space="preserve">Cadastro com campos vazios</t>
  </si>
  <si>
    <t xml:space="preserve">Enviar formulário sem preencher campos</t>
  </si>
  <si>
    <t xml:space="preserve">Validação bloqueia envio; campos obrigatórios destacados</t>
  </si>
  <si>
    <t xml:space="preserve">Formulário não submetido; erros indicados em vermelho</t>
  </si>
  <si>
    <t xml:space="preserve">Foco automático no primeiro campo inválido</t>
  </si>
  <si>
    <t xml:space="preserve">cadastro-vazios.png</t>
  </si>
  <si>
    <t xml:space="preserve">CT-13</t>
  </si>
  <si>
    <t xml:space="preserve">Inserção de dados inválidos</t>
  </si>
  <si>
    <t xml:space="preserve">Telefone: 'abcdef'; CPF: '000.000.000-00'</t>
  </si>
  <si>
    <t xml:space="preserve">Mensagem de formato inválido por campo</t>
  </si>
  <si>
    <t xml:space="preserve">Erros de validação exibidos inline</t>
  </si>
  <si>
    <t xml:space="preserve">Máscara de input ativa para telefone</t>
  </si>
  <si>
    <t xml:space="preserve">dados-invalidos.png</t>
  </si>
  <si>
    <t xml:space="preserve">CT-14</t>
  </si>
  <si>
    <t xml:space="preserve">Envio de formulário incompleto</t>
  </si>
  <si>
    <t xml:space="preserve">Preencher apenas campos opcionais</t>
  </si>
  <si>
    <t xml:space="preserve">Envio bloqueado; obrigatórios destacados</t>
  </si>
  <si>
    <t xml:space="preserve">Formulário não enviado; asterisco vermelho visível</t>
  </si>
  <si>
    <t xml:space="preserve">Mensagem lista quais campos faltam</t>
  </si>
  <si>
    <t xml:space="preserve">form-incompleto.png</t>
  </si>
  <si>
    <t xml:space="preserve">CT-15</t>
  </si>
  <si>
    <t xml:space="preserve">Acesso sem autenticação</t>
  </si>
  <si>
    <t xml:space="preserve">URL direta para /dashboard sem login</t>
  </si>
  <si>
    <t xml:space="preserve">Redirecionamento para /login com aviso</t>
  </si>
  <si>
    <t xml:space="preserve">Redireciona para /login com msg 'Faça login'</t>
  </si>
  <si>
    <t xml:space="preserve">Rota protegida funcionando corretamente</t>
  </si>
  <si>
    <t xml:space="preserve">acesso-sem-login.png</t>
  </si>
  <si>
    <t xml:space="preserve">CT-16</t>
  </si>
  <si>
    <t xml:space="preserve">Formato incorreto de e-mail</t>
  </si>
  <si>
    <t xml:space="preserve">E-mail: 'email_sem_arroba.com'</t>
  </si>
  <si>
    <t xml:space="preserve">Mensagem 'E-mail inválido'</t>
  </si>
  <si>
    <t xml:space="preserve">Campo destacado; mensagem de erro exibida</t>
  </si>
  <si>
    <t xml:space="preserve">Validação HTML5 + JS ativa</t>
  </si>
  <si>
    <t xml:space="preserve">email-invalido.png</t>
  </si>
  <si>
    <t xml:space="preserve">CT-17</t>
  </si>
  <si>
    <t xml:space="preserve">Teste de limite de caracteres</t>
  </si>
  <si>
    <t xml:space="preserve">Nome com 300 caracteres (excede limite de 150)</t>
  </si>
  <si>
    <t xml:space="preserve">Truncagem automática ou mensagem de erro</t>
  </si>
  <si>
    <t xml:space="preserve">Campo limita entrada a 150 caracteres</t>
  </si>
  <si>
    <t xml:space="preserve">maxlength aplicado no input</t>
  </si>
  <si>
    <t xml:space="preserve">limite-chars.png</t>
  </si>
  <si>
    <t xml:space="preserve">CT-18</t>
  </si>
  <si>
    <t xml:space="preserve">Verificação de mensagem de erro</t>
  </si>
  <si>
    <t xml:space="preserve">Simular erro 500 desligando a API</t>
  </si>
  <si>
    <t xml:space="preserve">Mensagem amigável de erro ao usuário</t>
  </si>
  <si>
    <t xml:space="preserve">'Erro interno. Tente novamente.' exibido</t>
  </si>
  <si>
    <t xml:space="preserve">Nenhum stack trace exposto na UI</t>
  </si>
  <si>
    <t xml:space="preserve">erro-sistema.png</t>
  </si>
  <si>
    <t xml:space="preserve">NOVOS CASOS DE TESTE – CRIADOS PELO GRUPO</t>
  </si>
  <si>
    <t xml:space="preserve">5 Casos Positivos + 5 Casos Negativos adicionais propostos pelo grupo</t>
  </si>
  <si>
    <t xml:space="preserve">NCT-01</t>
  </si>
  <si>
    <t xml:space="preserve">Cadastro de usuário com todos os dados válidos</t>
  </si>
  <si>
    <t xml:space="preserve">Nome, e-mail único, CPF válido, senha forte</t>
  </si>
  <si>
    <t xml:space="preserve">Usuário criado; e-mail de confirmação enviado</t>
  </si>
  <si>
    <t xml:space="preserve">Pendente</t>
  </si>
  <si>
    <t xml:space="preserve">confirmacao-email.png</t>
  </si>
  <si>
    <t xml:space="preserve">NCT-02</t>
  </si>
  <si>
    <t xml:space="preserve">Atualização de foto de perfil</t>
  </si>
  <si>
    <t xml:space="preserve">Imagem PNG 200×200 px, &lt; 2 MB</t>
  </si>
  <si>
    <t xml:space="preserve">Foto salva e exibida no perfil imediatamente</t>
  </si>
  <si>
    <t xml:space="preserve">foto-perfil.png</t>
  </si>
  <si>
    <t xml:space="preserve">NCT-03</t>
  </si>
  <si>
    <t xml:space="preserve">Pesquisa com múltiplos filtros simultâneos</t>
  </si>
  <si>
    <t xml:space="preserve">Status='Ativo' + Cidade='São Paulo'</t>
  </si>
  <si>
    <t xml:space="preserve">Lista com apenas registros ativos de SP</t>
  </si>
  <si>
    <t xml:space="preserve">filtro-multiplo.png</t>
  </si>
  <si>
    <t xml:space="preserve">NCT-04</t>
  </si>
  <si>
    <t xml:space="preserve">Recuperação de senha com e-mail cadastrado</t>
  </si>
  <si>
    <t xml:space="preserve">E-mail: admin@email.com (existente)</t>
  </si>
  <si>
    <t xml:space="preserve">E-mail de reset enviado; link expira em 30 min</t>
  </si>
  <si>
    <t xml:space="preserve">recuperar-senha.png</t>
  </si>
  <si>
    <t xml:space="preserve">NCT-05</t>
  </si>
  <si>
    <t xml:space="preserve">Exportação de relatório em PDF</t>
  </si>
  <si>
    <t xml:space="preserve">Clicar em 'Exportar PDF' com filtros aplicados</t>
  </si>
  <si>
    <t xml:space="preserve">Arquivo PDF gerado com dados filtrados</t>
  </si>
  <si>
    <t xml:space="preserve">exportar-pdf.png</t>
  </si>
  <si>
    <t xml:space="preserve">NCT-06</t>
  </si>
  <si>
    <t xml:space="preserve">Cadastro com e-mail já existente</t>
  </si>
  <si>
    <t xml:space="preserve">E-mail: admin@email.com (duplicado)</t>
  </si>
  <si>
    <t xml:space="preserve">Mensagem 'E-mail já cadastrado no sistema'</t>
  </si>
  <si>
    <t xml:space="preserve">email-duplicado.png</t>
  </si>
  <si>
    <t xml:space="preserve">NCT-07</t>
  </si>
  <si>
    <t xml:space="preserve">Upload de arquivo não permitido (.exe)</t>
  </si>
  <si>
    <t xml:space="preserve">Arquivo: virus.exe (tipo inválido)</t>
  </si>
  <si>
    <t xml:space="preserve">Upload bloqueado; mensagem de tipo não suportado</t>
  </si>
  <si>
    <t xml:space="preserve">upload-invalido.png</t>
  </si>
  <si>
    <t xml:space="preserve">NCT-08</t>
  </si>
  <si>
    <t xml:space="preserve">Senha abaixo do mínimo exigido</t>
  </si>
  <si>
    <t xml:space="preserve">Senha: 'abc' (3 chars; mínimo 8)</t>
  </si>
  <si>
    <t xml:space="preserve">Mensagem 'Senha deve ter no mínimo 8 caracteres'</t>
  </si>
  <si>
    <t xml:space="preserve">senha-curta.png</t>
  </si>
  <si>
    <t xml:space="preserve">NCT-09</t>
  </si>
  <si>
    <t xml:space="preserve">Tentativa de SQL Injection no login</t>
  </si>
  <si>
    <t xml:space="preserve">Usuário: admin' OR '1'='1</t>
  </si>
  <si>
    <t xml:space="preserve">Acesso negado; nenhum dado exposto</t>
  </si>
  <si>
    <t xml:space="preserve">sql-injection.png</t>
  </si>
  <si>
    <t xml:space="preserve">NCT-10</t>
  </si>
  <si>
    <t xml:space="preserve">Sessão expirada – ação sem reautenticação</t>
  </si>
  <si>
    <t xml:space="preserve">Aguardar expiração (&gt; 30 min) e tentar salvar</t>
  </si>
  <si>
    <t xml:space="preserve">Redireciona para login com msg 'Sessão expirada'</t>
  </si>
  <si>
    <t xml:space="preserve">sessao-expirada.png</t>
  </si>
  <si>
    <t xml:space="preserve">RESUMO DE EXECUÇÃO DOS TESTES</t>
  </si>
  <si>
    <t xml:space="preserve">Resumo de Execução dos Testes</t>
  </si>
  <si>
    <t xml:space="preserve">Métrica</t>
  </si>
  <si>
    <t xml:space="preserve">Testes Base (CT)</t>
  </si>
  <si>
    <t xml:space="preserve">Novos Testes (NCT)</t>
  </si>
  <si>
    <t xml:space="preserve">Total</t>
  </si>
  <si>
    <t xml:space="preserve">Total de Casos</t>
  </si>
  <si>
    <t xml:space="preserve">Failed</t>
  </si>
  <si>
    <t xml:space="preserve">% Aprovação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</si>
</sst>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1A5C2A"/>
      <name val="Arial"/>
      <family val="0"/>
      <charset val="1"/>
    </font>
    <font>
      <b val="true"/>
      <sz val="9"/>
      <color rgb="FF1A5C2A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276221"/>
      <name val="Arial"/>
      <family val="0"/>
      <charset val="1"/>
    </font>
    <font>
      <sz val="9"/>
      <color rgb="FF8B1A1A"/>
      <name val="Arial"/>
      <family val="0"/>
      <charset val="1"/>
    </font>
    <font>
      <b val="true"/>
      <sz val="9"/>
      <color rgb="FF8B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12"/>
      <color rgb="FF1A3A5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D9E8F5"/>
        <bgColor rgb="FFD6F0DC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FF3CD"/>
      </patternFill>
    </fill>
    <fill>
      <patternFill patternType="solid">
        <fgColor rgb="FFD6F0DC"/>
        <bgColor rgb="FFC6EFCE"/>
      </patternFill>
    </fill>
    <fill>
      <patternFill patternType="solid">
        <fgColor rgb="FFC6EFCE"/>
        <bgColor rgb="FFD6F0DC"/>
      </patternFill>
    </fill>
    <fill>
      <patternFill patternType="solid">
        <fgColor rgb="FFFAD7D7"/>
        <bgColor rgb="FFFFC7CE"/>
      </patternFill>
    </fill>
    <fill>
      <patternFill patternType="solid">
        <fgColor rgb="FFFFF3CD"/>
        <bgColor rgb="FFFFFFFF"/>
      </patternFill>
    </fill>
    <fill>
      <patternFill patternType="solid">
        <fgColor rgb="FFFFC7CE"/>
        <bgColor rgb="FFFAD7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FF3CD"/>
      <rgbColor rgb="FFD6F0DC"/>
      <rgbColor rgb="FF660066"/>
      <rgbColor rgb="FFFF8080"/>
      <rgbColor rgb="FF2E6DA4"/>
      <rgbColor rgb="FFFA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8B1A1A"/>
      <rgbColor rgb="FF993366"/>
      <rgbColor rgb="FF333399"/>
      <rgbColor rgb="FF1A5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6" min="5" style="0" width="3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7.5" hidden="false" customHeight="true" outlineLevel="0" collapsed="false">
      <c r="A5" s="4" t="s">
        <v>12</v>
      </c>
      <c r="B5" s="5" t="s">
        <v>13</v>
      </c>
      <c r="C5" s="6" t="s">
        <v>14</v>
      </c>
      <c r="D5" s="7" t="s">
        <v>15</v>
      </c>
      <c r="E5" s="7" t="s">
        <v>16</v>
      </c>
      <c r="F5" s="7" t="s">
        <v>17</v>
      </c>
      <c r="G5" s="8" t="s">
        <v>18</v>
      </c>
      <c r="H5" s="7" t="s">
        <v>19</v>
      </c>
      <c r="I5" s="9" t="s">
        <v>20</v>
      </c>
      <c r="J5" s="9"/>
    </row>
    <row r="6" customFormat="false" ht="37.5" hidden="false" customHeight="true" outlineLevel="0" collapsed="false">
      <c r="A6" s="4" t="s">
        <v>21</v>
      </c>
      <c r="B6" s="5" t="s">
        <v>22</v>
      </c>
      <c r="C6" s="6" t="s">
        <v>14</v>
      </c>
      <c r="D6" s="7" t="s">
        <v>23</v>
      </c>
      <c r="E6" s="7" t="s">
        <v>24</v>
      </c>
      <c r="F6" s="7" t="s">
        <v>25</v>
      </c>
      <c r="G6" s="8" t="s">
        <v>18</v>
      </c>
      <c r="H6" s="7" t="s">
        <v>26</v>
      </c>
      <c r="I6" s="9" t="s">
        <v>27</v>
      </c>
      <c r="J6" s="9"/>
    </row>
    <row r="7" customFormat="false" ht="37.5" hidden="false" customHeight="true" outlineLevel="0" collapsed="false">
      <c r="A7" s="4" t="s">
        <v>28</v>
      </c>
      <c r="B7" s="5" t="s">
        <v>29</v>
      </c>
      <c r="C7" s="6" t="s">
        <v>14</v>
      </c>
      <c r="D7" s="7" t="s">
        <v>30</v>
      </c>
      <c r="E7" s="7" t="s">
        <v>31</v>
      </c>
      <c r="F7" s="7" t="s">
        <v>32</v>
      </c>
      <c r="G7" s="8" t="s">
        <v>18</v>
      </c>
      <c r="H7" s="7" t="s">
        <v>33</v>
      </c>
      <c r="I7" s="9" t="s">
        <v>34</v>
      </c>
      <c r="J7" s="9"/>
    </row>
    <row r="8" customFormat="false" ht="37.5" hidden="false" customHeight="true" outlineLevel="0" collapsed="false">
      <c r="A8" s="4" t="s">
        <v>35</v>
      </c>
      <c r="B8" s="5" t="s">
        <v>36</v>
      </c>
      <c r="C8" s="6" t="s">
        <v>14</v>
      </c>
      <c r="D8" s="7" t="s">
        <v>37</v>
      </c>
      <c r="E8" s="7" t="s">
        <v>38</v>
      </c>
      <c r="F8" s="7" t="s">
        <v>39</v>
      </c>
      <c r="G8" s="8" t="s">
        <v>18</v>
      </c>
      <c r="H8" s="7" t="s">
        <v>40</v>
      </c>
      <c r="I8" s="9" t="s">
        <v>41</v>
      </c>
      <c r="J8" s="9"/>
    </row>
    <row r="9" customFormat="false" ht="37.5" hidden="false" customHeight="true" outlineLevel="0" collapsed="false">
      <c r="A9" s="4" t="s">
        <v>42</v>
      </c>
      <c r="B9" s="5" t="s">
        <v>43</v>
      </c>
      <c r="C9" s="6" t="s">
        <v>14</v>
      </c>
      <c r="D9" s="7" t="s">
        <v>44</v>
      </c>
      <c r="E9" s="7" t="s">
        <v>45</v>
      </c>
      <c r="F9" s="7" t="s">
        <v>46</v>
      </c>
      <c r="G9" s="8" t="s">
        <v>18</v>
      </c>
      <c r="H9" s="7" t="s">
        <v>47</v>
      </c>
      <c r="I9" s="9" t="s">
        <v>48</v>
      </c>
      <c r="J9" s="9"/>
    </row>
    <row r="10" customFormat="false" ht="37.5" hidden="false" customHeight="true" outlineLevel="0" collapsed="false">
      <c r="A10" s="4" t="s">
        <v>49</v>
      </c>
      <c r="B10" s="5" t="s">
        <v>50</v>
      </c>
      <c r="C10" s="6" t="s">
        <v>14</v>
      </c>
      <c r="D10" s="7" t="s">
        <v>51</v>
      </c>
      <c r="E10" s="7" t="s">
        <v>52</v>
      </c>
      <c r="F10" s="7" t="s">
        <v>53</v>
      </c>
      <c r="G10" s="8" t="s">
        <v>18</v>
      </c>
      <c r="H10" s="7" t="s">
        <v>54</v>
      </c>
      <c r="I10" s="9" t="s">
        <v>55</v>
      </c>
      <c r="J10" s="9"/>
    </row>
    <row r="11" customFormat="false" ht="37.5" hidden="false" customHeight="true" outlineLevel="0" collapsed="false">
      <c r="A11" s="4" t="s">
        <v>56</v>
      </c>
      <c r="B11" s="5" t="s">
        <v>57</v>
      </c>
      <c r="C11" s="6" t="s">
        <v>14</v>
      </c>
      <c r="D11" s="7" t="s">
        <v>58</v>
      </c>
      <c r="E11" s="7" t="s">
        <v>59</v>
      </c>
      <c r="F11" s="7" t="s">
        <v>60</v>
      </c>
      <c r="G11" s="8" t="s">
        <v>18</v>
      </c>
      <c r="H11" s="7" t="s">
        <v>61</v>
      </c>
      <c r="I11" s="9" t="s">
        <v>62</v>
      </c>
      <c r="J11" s="9"/>
    </row>
    <row r="12" customFormat="false" ht="37.5" hidden="false" customHeight="true" outlineLevel="0" collapsed="false">
      <c r="A12" s="4" t="s">
        <v>63</v>
      </c>
      <c r="B12" s="5" t="s">
        <v>64</v>
      </c>
      <c r="C12" s="6" t="s">
        <v>14</v>
      </c>
      <c r="D12" s="7" t="s">
        <v>65</v>
      </c>
      <c r="E12" s="7" t="s">
        <v>66</v>
      </c>
      <c r="F12" s="7" t="s">
        <v>67</v>
      </c>
      <c r="G12" s="8" t="s">
        <v>18</v>
      </c>
      <c r="H12" s="7" t="s">
        <v>68</v>
      </c>
      <c r="I12" s="9" t="s">
        <v>69</v>
      </c>
      <c r="J12" s="9"/>
    </row>
    <row r="13" customFormat="false" ht="37.5" hidden="false" customHeight="true" outlineLevel="0" collapsed="false">
      <c r="A13" s="4" t="s">
        <v>70</v>
      </c>
      <c r="B13" s="10" t="s">
        <v>71</v>
      </c>
      <c r="C13" s="11" t="s">
        <v>72</v>
      </c>
      <c r="D13" s="7" t="s">
        <v>73</v>
      </c>
      <c r="E13" s="7" t="s">
        <v>74</v>
      </c>
      <c r="F13" s="7" t="s">
        <v>75</v>
      </c>
      <c r="G13" s="8" t="s">
        <v>18</v>
      </c>
      <c r="H13" s="7" t="s">
        <v>76</v>
      </c>
      <c r="I13" s="9" t="s">
        <v>77</v>
      </c>
      <c r="J13" s="9"/>
    </row>
    <row r="14" customFormat="false" ht="37.5" hidden="false" customHeight="true" outlineLevel="0" collapsed="false">
      <c r="A14" s="4" t="s">
        <v>78</v>
      </c>
      <c r="B14" s="10" t="s">
        <v>79</v>
      </c>
      <c r="C14" s="11" t="s">
        <v>72</v>
      </c>
      <c r="D14" s="7" t="s">
        <v>80</v>
      </c>
      <c r="E14" s="7" t="s">
        <v>81</v>
      </c>
      <c r="F14" s="7" t="s">
        <v>82</v>
      </c>
      <c r="G14" s="8" t="s">
        <v>18</v>
      </c>
      <c r="H14" s="7" t="s">
        <v>83</v>
      </c>
      <c r="I14" s="9" t="s">
        <v>84</v>
      </c>
      <c r="J14" s="9"/>
    </row>
    <row r="15" customFormat="false" ht="37.5" hidden="false" customHeight="true" outlineLevel="0" collapsed="false">
      <c r="A15" s="4" t="s">
        <v>85</v>
      </c>
      <c r="B15" s="10" t="s">
        <v>86</v>
      </c>
      <c r="C15" s="11" t="s">
        <v>72</v>
      </c>
      <c r="D15" s="7" t="s">
        <v>87</v>
      </c>
      <c r="E15" s="7" t="s">
        <v>88</v>
      </c>
      <c r="F15" s="7" t="s">
        <v>89</v>
      </c>
      <c r="G15" s="8" t="s">
        <v>18</v>
      </c>
      <c r="H15" s="7" t="s">
        <v>90</v>
      </c>
      <c r="I15" s="9" t="s">
        <v>91</v>
      </c>
      <c r="J15" s="9"/>
    </row>
    <row r="16" customFormat="false" ht="37.5" hidden="false" customHeight="true" outlineLevel="0" collapsed="false">
      <c r="A16" s="4" t="s">
        <v>92</v>
      </c>
      <c r="B16" s="10" t="s">
        <v>93</v>
      </c>
      <c r="C16" s="11" t="s">
        <v>72</v>
      </c>
      <c r="D16" s="7" t="s">
        <v>94</v>
      </c>
      <c r="E16" s="7" t="s">
        <v>95</v>
      </c>
      <c r="F16" s="7" t="s">
        <v>96</v>
      </c>
      <c r="G16" s="8" t="s">
        <v>18</v>
      </c>
      <c r="H16" s="7" t="s">
        <v>97</v>
      </c>
      <c r="I16" s="9" t="s">
        <v>98</v>
      </c>
      <c r="J16" s="9"/>
    </row>
    <row r="17" customFormat="false" ht="37.5" hidden="false" customHeight="true" outlineLevel="0" collapsed="false">
      <c r="A17" s="4" t="s">
        <v>99</v>
      </c>
      <c r="B17" s="10" t="s">
        <v>100</v>
      </c>
      <c r="C17" s="11" t="s">
        <v>72</v>
      </c>
      <c r="D17" s="7" t="s">
        <v>101</v>
      </c>
      <c r="E17" s="7" t="s">
        <v>102</v>
      </c>
      <c r="F17" s="7" t="s">
        <v>103</v>
      </c>
      <c r="G17" s="8" t="s">
        <v>18</v>
      </c>
      <c r="H17" s="7" t="s">
        <v>104</v>
      </c>
      <c r="I17" s="9" t="s">
        <v>105</v>
      </c>
      <c r="J17" s="9"/>
    </row>
    <row r="18" customFormat="false" ht="37.5" hidden="false" customHeight="true" outlineLevel="0" collapsed="false">
      <c r="A18" s="4" t="s">
        <v>106</v>
      </c>
      <c r="B18" s="10" t="s">
        <v>107</v>
      </c>
      <c r="C18" s="11" t="s">
        <v>72</v>
      </c>
      <c r="D18" s="7" t="s">
        <v>108</v>
      </c>
      <c r="E18" s="7" t="s">
        <v>109</v>
      </c>
      <c r="F18" s="7" t="s">
        <v>110</v>
      </c>
      <c r="G18" s="8" t="s">
        <v>18</v>
      </c>
      <c r="H18" s="7" t="s">
        <v>111</v>
      </c>
      <c r="I18" s="9" t="s">
        <v>112</v>
      </c>
      <c r="J18" s="9"/>
    </row>
    <row r="19" customFormat="false" ht="37.5" hidden="false" customHeight="true" outlineLevel="0" collapsed="false">
      <c r="A19" s="4" t="s">
        <v>113</v>
      </c>
      <c r="B19" s="10" t="s">
        <v>114</v>
      </c>
      <c r="C19" s="11" t="s">
        <v>72</v>
      </c>
      <c r="D19" s="7" t="s">
        <v>115</v>
      </c>
      <c r="E19" s="7" t="s">
        <v>116</v>
      </c>
      <c r="F19" s="7" t="s">
        <v>117</v>
      </c>
      <c r="G19" s="8" t="s">
        <v>18</v>
      </c>
      <c r="H19" s="7" t="s">
        <v>118</v>
      </c>
      <c r="I19" s="9" t="s">
        <v>119</v>
      </c>
      <c r="J19" s="9"/>
    </row>
    <row r="20" customFormat="false" ht="37.5" hidden="false" customHeight="true" outlineLevel="0" collapsed="false">
      <c r="A20" s="4" t="s">
        <v>120</v>
      </c>
      <c r="B20" s="10" t="s">
        <v>121</v>
      </c>
      <c r="C20" s="11" t="s">
        <v>72</v>
      </c>
      <c r="D20" s="7" t="s">
        <v>122</v>
      </c>
      <c r="E20" s="7" t="s">
        <v>123</v>
      </c>
      <c r="F20" s="7" t="s">
        <v>124</v>
      </c>
      <c r="G20" s="8" t="s">
        <v>18</v>
      </c>
      <c r="H20" s="7" t="s">
        <v>125</v>
      </c>
      <c r="I20" s="9" t="s">
        <v>126</v>
      </c>
      <c r="J20" s="9"/>
    </row>
    <row r="21" customFormat="false" ht="37.5" hidden="false" customHeight="true" outlineLevel="0" collapsed="false">
      <c r="A21" s="4" t="s">
        <v>127</v>
      </c>
      <c r="B21" s="10" t="s">
        <v>128</v>
      </c>
      <c r="C21" s="11" t="s">
        <v>72</v>
      </c>
      <c r="D21" s="7" t="s">
        <v>129</v>
      </c>
      <c r="E21" s="7" t="s">
        <v>130</v>
      </c>
      <c r="F21" s="7" t="s">
        <v>131</v>
      </c>
      <c r="G21" s="8" t="s">
        <v>18</v>
      </c>
      <c r="H21" s="7" t="s">
        <v>132</v>
      </c>
      <c r="I21" s="9" t="s">
        <v>133</v>
      </c>
      <c r="J21" s="9"/>
    </row>
    <row r="22" customFormat="false" ht="37.5" hidden="false" customHeight="true" outlineLevel="0" collapsed="false">
      <c r="A22" s="4" t="s">
        <v>134</v>
      </c>
      <c r="B22" s="10" t="s">
        <v>135</v>
      </c>
      <c r="C22" s="11" t="s">
        <v>72</v>
      </c>
      <c r="D22" s="7" t="s">
        <v>136</v>
      </c>
      <c r="E22" s="7" t="s">
        <v>137</v>
      </c>
      <c r="F22" s="7" t="s">
        <v>138</v>
      </c>
      <c r="G22" s="8" t="s">
        <v>18</v>
      </c>
      <c r="H22" s="7" t="s">
        <v>139</v>
      </c>
      <c r="I22" s="9" t="s">
        <v>140</v>
      </c>
      <c r="J22" s="9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6" min="5" style="0" width="3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6"/>
  </cols>
  <sheetData>
    <row r="1" customFormat="false" ht="33.75" hidden="false" customHeight="true" outlineLevel="0" collapsed="false">
      <c r="A1" s="12" t="s">
        <v>141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18" hidden="false" customHeight="true" outlineLevel="0" collapsed="false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7.5" hidden="false" customHeight="true" outlineLevel="0" collapsed="false">
      <c r="A5" s="4" t="s">
        <v>143</v>
      </c>
      <c r="B5" s="5" t="s">
        <v>144</v>
      </c>
      <c r="C5" s="6" t="s">
        <v>14</v>
      </c>
      <c r="D5" s="7" t="s">
        <v>145</v>
      </c>
      <c r="E5" s="7" t="s">
        <v>146</v>
      </c>
      <c r="F5" s="7"/>
      <c r="G5" s="13" t="s">
        <v>147</v>
      </c>
      <c r="H5" s="7"/>
      <c r="I5" s="9" t="s">
        <v>148</v>
      </c>
      <c r="J5" s="9"/>
    </row>
    <row r="6" customFormat="false" ht="37.5" hidden="false" customHeight="true" outlineLevel="0" collapsed="false">
      <c r="A6" s="4" t="s">
        <v>149</v>
      </c>
      <c r="B6" s="5" t="s">
        <v>150</v>
      </c>
      <c r="C6" s="6" t="s">
        <v>14</v>
      </c>
      <c r="D6" s="7" t="s">
        <v>151</v>
      </c>
      <c r="E6" s="7" t="s">
        <v>152</v>
      </c>
      <c r="F6" s="7"/>
      <c r="G6" s="13" t="s">
        <v>147</v>
      </c>
      <c r="H6" s="7"/>
      <c r="I6" s="9" t="s">
        <v>153</v>
      </c>
      <c r="J6" s="9"/>
    </row>
    <row r="7" customFormat="false" ht="37.5" hidden="false" customHeight="true" outlineLevel="0" collapsed="false">
      <c r="A7" s="4" t="s">
        <v>154</v>
      </c>
      <c r="B7" s="5" t="s">
        <v>155</v>
      </c>
      <c r="C7" s="6" t="s">
        <v>14</v>
      </c>
      <c r="D7" s="7" t="s">
        <v>156</v>
      </c>
      <c r="E7" s="7" t="s">
        <v>157</v>
      </c>
      <c r="F7" s="7"/>
      <c r="G7" s="13" t="s">
        <v>147</v>
      </c>
      <c r="H7" s="7"/>
      <c r="I7" s="9" t="s">
        <v>158</v>
      </c>
      <c r="J7" s="9"/>
    </row>
    <row r="8" customFormat="false" ht="37.5" hidden="false" customHeight="true" outlineLevel="0" collapsed="false">
      <c r="A8" s="4" t="s">
        <v>159</v>
      </c>
      <c r="B8" s="5" t="s">
        <v>160</v>
      </c>
      <c r="C8" s="6" t="s">
        <v>14</v>
      </c>
      <c r="D8" s="7" t="s">
        <v>161</v>
      </c>
      <c r="E8" s="7" t="s">
        <v>162</v>
      </c>
      <c r="F8" s="7"/>
      <c r="G8" s="13" t="s">
        <v>147</v>
      </c>
      <c r="H8" s="7"/>
      <c r="I8" s="9" t="s">
        <v>163</v>
      </c>
      <c r="J8" s="9"/>
    </row>
    <row r="9" customFormat="false" ht="37.5" hidden="false" customHeight="true" outlineLevel="0" collapsed="false">
      <c r="A9" s="4" t="s">
        <v>164</v>
      </c>
      <c r="B9" s="5" t="s">
        <v>165</v>
      </c>
      <c r="C9" s="6" t="s">
        <v>14</v>
      </c>
      <c r="D9" s="7" t="s">
        <v>166</v>
      </c>
      <c r="E9" s="7" t="s">
        <v>167</v>
      </c>
      <c r="F9" s="7"/>
      <c r="G9" s="13" t="s">
        <v>147</v>
      </c>
      <c r="H9" s="7"/>
      <c r="I9" s="9" t="s">
        <v>168</v>
      </c>
      <c r="J9" s="9"/>
    </row>
    <row r="10" customFormat="false" ht="37.5" hidden="false" customHeight="true" outlineLevel="0" collapsed="false">
      <c r="A10" s="4" t="s">
        <v>169</v>
      </c>
      <c r="B10" s="10" t="s">
        <v>170</v>
      </c>
      <c r="C10" s="11" t="s">
        <v>72</v>
      </c>
      <c r="D10" s="7" t="s">
        <v>171</v>
      </c>
      <c r="E10" s="7" t="s">
        <v>172</v>
      </c>
      <c r="F10" s="7"/>
      <c r="G10" s="13" t="s">
        <v>147</v>
      </c>
      <c r="H10" s="7"/>
      <c r="I10" s="9" t="s">
        <v>173</v>
      </c>
      <c r="J10" s="9"/>
    </row>
    <row r="11" customFormat="false" ht="37.5" hidden="false" customHeight="true" outlineLevel="0" collapsed="false">
      <c r="A11" s="4" t="s">
        <v>174</v>
      </c>
      <c r="B11" s="10" t="s">
        <v>175</v>
      </c>
      <c r="C11" s="11" t="s">
        <v>72</v>
      </c>
      <c r="D11" s="7" t="s">
        <v>176</v>
      </c>
      <c r="E11" s="7" t="s">
        <v>177</v>
      </c>
      <c r="F11" s="7"/>
      <c r="G11" s="13" t="s">
        <v>147</v>
      </c>
      <c r="H11" s="7"/>
      <c r="I11" s="9" t="s">
        <v>178</v>
      </c>
      <c r="J11" s="9"/>
    </row>
    <row r="12" customFormat="false" ht="37.5" hidden="false" customHeight="true" outlineLevel="0" collapsed="false">
      <c r="A12" s="4" t="s">
        <v>179</v>
      </c>
      <c r="B12" s="10" t="s">
        <v>180</v>
      </c>
      <c r="C12" s="11" t="s">
        <v>72</v>
      </c>
      <c r="D12" s="7" t="s">
        <v>181</v>
      </c>
      <c r="E12" s="7" t="s">
        <v>182</v>
      </c>
      <c r="F12" s="7"/>
      <c r="G12" s="13" t="s">
        <v>147</v>
      </c>
      <c r="H12" s="7"/>
      <c r="I12" s="9" t="s">
        <v>183</v>
      </c>
      <c r="J12" s="9"/>
    </row>
    <row r="13" customFormat="false" ht="37.5" hidden="false" customHeight="true" outlineLevel="0" collapsed="false">
      <c r="A13" s="4" t="s">
        <v>184</v>
      </c>
      <c r="B13" s="10" t="s">
        <v>185</v>
      </c>
      <c r="C13" s="11" t="s">
        <v>72</v>
      </c>
      <c r="D13" s="7" t="s">
        <v>186</v>
      </c>
      <c r="E13" s="7" t="s">
        <v>187</v>
      </c>
      <c r="F13" s="7"/>
      <c r="G13" s="13" t="s">
        <v>147</v>
      </c>
      <c r="H13" s="7"/>
      <c r="I13" s="9" t="s">
        <v>188</v>
      </c>
      <c r="J13" s="9"/>
    </row>
    <row r="14" customFormat="false" ht="37.5" hidden="false" customHeight="true" outlineLevel="0" collapsed="false">
      <c r="A14" s="4" t="s">
        <v>189</v>
      </c>
      <c r="B14" s="10" t="s">
        <v>190</v>
      </c>
      <c r="C14" s="11" t="s">
        <v>72</v>
      </c>
      <c r="D14" s="7" t="s">
        <v>191</v>
      </c>
      <c r="E14" s="7" t="s">
        <v>192</v>
      </c>
      <c r="F14" s="7"/>
      <c r="G14" s="13" t="s">
        <v>147</v>
      </c>
      <c r="H14" s="7"/>
      <c r="I14" s="9" t="s">
        <v>193</v>
      </c>
      <c r="J14" s="9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33.75" hidden="false" customHeight="true" outlineLevel="0" collapsed="false">
      <c r="A1" s="1" t="s">
        <v>194</v>
      </c>
      <c r="B1" s="1"/>
      <c r="C1" s="1"/>
      <c r="D1" s="1"/>
      <c r="E1" s="1"/>
      <c r="F1" s="1"/>
    </row>
    <row r="2" customFormat="false" ht="24" hidden="false" customHeight="true" outlineLevel="0" collapsed="false">
      <c r="B2" s="14" t="s">
        <v>195</v>
      </c>
      <c r="C2" s="14"/>
      <c r="D2" s="14"/>
      <c r="E2" s="14"/>
      <c r="F2" s="14"/>
    </row>
    <row r="3" customFormat="false" ht="19.5" hidden="false" customHeight="true" outlineLevel="0" collapsed="false">
      <c r="B3" s="3" t="s">
        <v>196</v>
      </c>
      <c r="C3" s="3" t="s">
        <v>197</v>
      </c>
      <c r="D3" s="3" t="s">
        <v>198</v>
      </c>
      <c r="E3" s="3" t="s">
        <v>199</v>
      </c>
    </row>
    <row r="4" customFormat="false" ht="21.75" hidden="false" customHeight="true" outlineLevel="0" collapsed="false">
      <c r="B4" s="15" t="s">
        <v>200</v>
      </c>
      <c r="C4" s="16" t="n">
        <f aca="false">COUNTA('Casos de Teste'!A5:A22)</f>
        <v>18</v>
      </c>
      <c r="D4" s="16" t="n">
        <f aca="false">COUNTA('Novos Casos de Teste'!A5:A14)</f>
        <v>10</v>
      </c>
      <c r="E4" s="16" t="n">
        <f aca="false">C4+D4</f>
        <v>28</v>
      </c>
    </row>
    <row r="5" customFormat="false" ht="21.75" hidden="false" customHeight="true" outlineLevel="0" collapsed="false">
      <c r="B5" s="17" t="s">
        <v>18</v>
      </c>
      <c r="C5" s="16" t="n">
        <f aca="false">COUNTIF('Casos de Teste'!G5:G22,"Passed")</f>
        <v>18</v>
      </c>
      <c r="D5" s="16" t="n">
        <f aca="false">COUNTIF('Novos Casos de Teste'!G5:G14,"Passed")</f>
        <v>0</v>
      </c>
      <c r="E5" s="16" t="n">
        <f aca="false">C5+D5</f>
        <v>18</v>
      </c>
    </row>
    <row r="6" customFormat="false" ht="21.75" hidden="false" customHeight="true" outlineLevel="0" collapsed="false">
      <c r="B6" s="18" t="s">
        <v>201</v>
      </c>
      <c r="C6" s="16" t="n">
        <f aca="false">COUNTIF('Casos de Teste'!G5:G22,"Failed")</f>
        <v>0</v>
      </c>
      <c r="D6" s="16" t="n">
        <f aca="false">COUNTIF('Novos Casos de Teste'!G5:G14,"Failed")</f>
        <v>0</v>
      </c>
      <c r="E6" s="16" t="n">
        <f aca="false">C6+D6</f>
        <v>0</v>
      </c>
    </row>
    <row r="7" customFormat="false" ht="21.75" hidden="false" customHeight="true" outlineLevel="0" collapsed="false">
      <c r="B7" s="19" t="s">
        <v>147</v>
      </c>
      <c r="C7" s="16" t="n">
        <f aca="false">COUNTIF('Casos de Teste'!G5:G22,"Pendente")</f>
        <v>0</v>
      </c>
      <c r="D7" s="16" t="n">
        <f aca="false">COUNTIF('Novos Casos de Teste'!G5:G14,"Pendente")</f>
        <v>10</v>
      </c>
      <c r="E7" s="16" t="n">
        <f aca="false">C7+D7</f>
        <v>10</v>
      </c>
    </row>
    <row r="8" customFormat="false" ht="21.75" hidden="false" customHeight="true" outlineLevel="0" collapsed="false">
      <c r="B8" s="15" t="s">
        <v>202</v>
      </c>
      <c r="C8" s="20" t="n">
        <f aca="false">IFERROR(C5/C4,"–")</f>
        <v>1</v>
      </c>
      <c r="D8" s="20" t="n">
        <f aca="false">IFERROR(D5/D4,"–")</f>
        <v>0</v>
      </c>
      <c r="E8" s="20" t="n">
        <f aca="false">IFERROR(E5/E4,"–")</f>
        <v>0.642857142857143</v>
      </c>
    </row>
  </sheetData>
  <mergeCells count="2">
    <mergeCell ref="A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2026-05-21T17:41:30Z</dcterms:created>
  <dc:creator>openpyxl</dc:creator>
  <dc:description/>
  <dc:language>en-US</dc:language>
  <cp:lastModifiedBy/>
  <dcterms:modified xsi:type="dcterms:W3CDTF">2026-05-21T17:41:30Z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